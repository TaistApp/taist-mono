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D:\working\waccache\TO1PEPF0001B3CE\EXCELCNV\a78a1d7c-89fa-4a0c-aebc-4b5ab65d8735\"/>
    </mc:Choice>
  </mc:AlternateContent>
  <xr:revisionPtr revIDLastSave="0" documentId="8_{75FB4E14-807D-4D66-9276-DECD6520A3B1}" xr6:coauthVersionLast="47" xr6:coauthVersionMax="47" xr10:uidLastSave="{00000000-0000-0000-0000-000000000000}"/>
  <bookViews>
    <workbookView xWindow="-60" yWindow="-60" windowWidth="15480" windowHeight="11640" xr2:uid="{00000000-000D-0000-FFFF-FFFF00000000}"/>
  </bookViews>
  <sheets>
    <sheet name="Dev Tracker" sheetId="1" r:id="rId1"/>
    <sheet name="Comments &amp; Pics" sheetId="3" r:id="rId2"/>
    <sheet name="Deprioritized" sheetId="4" r:id="rId3"/>
    <sheet name="Sprints" sheetId="2" r:id="rId4"/>
    <sheet name="Users" sheetId="5" state="hidden" r:id="rId5"/>
  </sheets>
  <definedNames>
    <definedName name="_xlnm._FilterDatabase" localSheetId="1" hidden="1">'Comments &amp; Pics'!$C$2:$F$3</definedName>
    <definedName name="_xlnm._FilterDatabase" localSheetId="2" hidden="1">Deprioritized!$C$2:$N$2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c r="D72" i="1"/>
  <c r="D71" i="1"/>
  <c r="D70" i="1"/>
  <c r="D69" i="1"/>
  <c r="D68" i="1"/>
  <c r="D67" i="1"/>
  <c r="D38" i="1"/>
  <c r="C38" i="1"/>
  <c r="G4" i="1"/>
  <c r="G3" i="1"/>
  <c r="C64" i="1"/>
  <c r="C63" i="1"/>
  <c r="C62" i="1"/>
  <c r="C61" i="1"/>
  <c r="C60" i="1"/>
  <c r="C59" i="1"/>
  <c r="C58" i="1"/>
  <c r="C57" i="1"/>
  <c r="C56" i="1"/>
  <c r="C55" i="1"/>
  <c r="C54" i="1"/>
  <c r="C53" i="1"/>
  <c r="C52" i="1"/>
  <c r="C51" i="1"/>
  <c r="C50" i="1"/>
  <c r="C49" i="1"/>
  <c r="C48" i="1"/>
  <c r="C47" i="1"/>
  <c r="C46" i="1"/>
  <c r="C45" i="1"/>
  <c r="C44" i="1"/>
  <c r="C43" i="1"/>
  <c r="C42" i="1"/>
  <c r="C41" i="1"/>
  <c r="C40" i="1"/>
  <c r="C39" i="1"/>
  <c r="D66" i="1"/>
  <c r="D37" i="1"/>
  <c r="D36" i="1"/>
  <c r="D65" i="1"/>
  <c r="D35" i="1"/>
  <c r="D34" i="1"/>
  <c r="D33" i="1"/>
  <c r="D32" i="1"/>
  <c r="D31" i="1"/>
  <c r="D64" i="1"/>
  <c r="D63" i="1"/>
  <c r="D62" i="1"/>
  <c r="D61" i="1"/>
  <c r="D60" i="1"/>
  <c r="D59" i="1"/>
  <c r="D58" i="1"/>
  <c r="D57" i="1"/>
  <c r="D56" i="1"/>
  <c r="D55" i="1"/>
  <c r="D54" i="1"/>
  <c r="D53" i="1"/>
  <c r="D52" i="1"/>
  <c r="D51" i="1"/>
  <c r="D50" i="1"/>
  <c r="D49" i="1"/>
  <c r="D48" i="1"/>
  <c r="D47" i="1"/>
  <c r="D46" i="1"/>
  <c r="D45" i="1"/>
  <c r="D44" i="1"/>
  <c r="D43" i="1"/>
  <c r="D42" i="1"/>
  <c r="C9" i="3"/>
  <c r="D41" i="1"/>
  <c r="I30" i="1"/>
  <c r="I29" i="1"/>
  <c r="I28" i="1"/>
  <c r="I27" i="1"/>
  <c r="I26" i="1"/>
  <c r="I25" i="1"/>
  <c r="I24" i="1"/>
  <c r="I23" i="1"/>
  <c r="I22" i="1"/>
  <c r="I21" i="1"/>
  <c r="I20" i="1"/>
  <c r="I19" i="1"/>
  <c r="I18" i="1"/>
  <c r="I17" i="1"/>
  <c r="I16" i="1"/>
  <c r="I15" i="1"/>
  <c r="I14" i="1"/>
  <c r="I13" i="1"/>
  <c r="I12" i="1"/>
  <c r="I11" i="1"/>
  <c r="I10" i="1"/>
  <c r="I9" i="1"/>
  <c r="D40" i="1"/>
  <c r="D39" i="1"/>
  <c r="D30" i="1"/>
  <c r="D29" i="1"/>
  <c r="D28" i="1"/>
  <c r="D27" i="1"/>
  <c r="D26" i="1"/>
  <c r="D25" i="1"/>
  <c r="D24" i="1"/>
  <c r="D23" i="1"/>
  <c r="D22" i="1"/>
  <c r="D21" i="1"/>
  <c r="D20" i="1"/>
  <c r="D19" i="1"/>
  <c r="D18" i="1"/>
  <c r="C3" i="3"/>
  <c r="D17" i="1"/>
  <c r="C10" i="3" s="1"/>
  <c r="D16" i="1"/>
  <c r="D15" i="1"/>
  <c r="C11" i="3" s="1"/>
  <c r="D14" i="1"/>
  <c r="C5" i="3"/>
  <c r="C8" i="3"/>
  <c r="D13" i="1"/>
  <c r="D12" i="1"/>
  <c r="D11" i="1"/>
  <c r="D10" i="1"/>
  <c r="D9" i="1"/>
  <c r="C30" i="1"/>
  <c r="M30" i="1"/>
  <c r="C29" i="1"/>
  <c r="M29" i="1"/>
  <c r="C28" i="1"/>
  <c r="M28" i="1"/>
  <c r="C27" i="1"/>
  <c r="M27" i="1"/>
  <c r="C26" i="1"/>
  <c r="M26" i="1"/>
  <c r="C25" i="1"/>
  <c r="M25" i="1"/>
  <c r="C24" i="1"/>
  <c r="M24" i="1"/>
  <c r="C23" i="1"/>
  <c r="M23" i="1"/>
  <c r="C22" i="1"/>
  <c r="M22" i="1"/>
  <c r="C21" i="1"/>
  <c r="M21" i="1"/>
  <c r="C20" i="1"/>
  <c r="M20" i="1"/>
  <c r="C19" i="1"/>
  <c r="M19" i="1"/>
  <c r="C18" i="1"/>
  <c r="M18" i="1"/>
  <c r="C17" i="1"/>
  <c r="M17" i="1"/>
  <c r="C16" i="1"/>
  <c r="M16" i="1"/>
  <c r="C15" i="1"/>
  <c r="M15" i="1"/>
  <c r="C14" i="1"/>
  <c r="M14" i="1"/>
  <c r="C13" i="1"/>
  <c r="M13" i="1"/>
  <c r="C12" i="1"/>
  <c r="M12" i="1"/>
  <c r="C11" i="1"/>
  <c r="C10" i="1"/>
  <c r="M10" i="1"/>
  <c r="C9" i="1"/>
  <c r="C7" i="3"/>
  <c r="C6" i="3"/>
  <c r="C4" i="3"/>
  <c r="M11" i="1"/>
  <c r="M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Dayne Arnett</author>
  </authors>
  <commentList>
    <comment ref="K2" authorId="0" shapeId="0" xr:uid="{E502FB6B-62E4-49C8-AC21-BDB14491F9DF}">
      <text>
        <r>
          <rPr>
            <b/>
            <sz val="9"/>
            <color indexed="81"/>
            <rFont val="Tahoma"/>
            <family val="2"/>
          </rPr>
          <t>Dayne Arnett:</t>
        </r>
        <r>
          <rPr>
            <sz val="9"/>
            <color indexed="81"/>
            <rFont val="Tahoma"/>
            <family val="2"/>
          </rPr>
          <t xml:space="preserve">
comma-separated if multiple</t>
        </r>
      </text>
    </comment>
  </commentList>
</comments>
</file>

<file path=xl/sharedStrings.xml><?xml version="1.0" encoding="utf-8"?>
<sst xmlns="http://schemas.openxmlformats.org/spreadsheetml/2006/main" count="359" uniqueCount="126">
  <si>
    <t>Sprint</t>
  </si>
  <si>
    <t>Days Outstanding</t>
  </si>
  <si>
    <t>Ticket ID</t>
  </si>
  <si>
    <t>Type</t>
  </si>
  <si>
    <t>Title</t>
  </si>
  <si>
    <t>Description</t>
  </si>
  <si>
    <t>Priority</t>
  </si>
  <si>
    <t>Created Date</t>
  </si>
  <si>
    <t>Status</t>
  </si>
  <si>
    <t>Dependency 
(Ticket ID)</t>
  </si>
  <si>
    <t>Assigned To</t>
  </si>
  <si>
    <t>End Date</t>
  </si>
  <si>
    <t>Inital Est. Hours</t>
  </si>
  <si>
    <t>Task</t>
  </si>
  <si>
    <t>*Hide "Cook with Taist" option, "Contact Taist" option, AND Search field on Customer side</t>
  </si>
  <si>
    <t>Tech Ref</t>
  </si>
  <si>
    <t>High</t>
  </si>
  <si>
    <t>STAGING</t>
  </si>
  <si>
    <t>Billy</t>
  </si>
  <si>
    <t xml:space="preserve">Twilio text notifications </t>
  </si>
  <si>
    <t>Only require phone number + email when signing up as a customer</t>
  </si>
  <si>
    <t xml:space="preserve">Cart icon at top of Customer screen </t>
  </si>
  <si>
    <t>*Simple tutorial overhaul (pictures, make it look nicer, make sure chefs don't skip it)</t>
  </si>
  <si>
    <t xml:space="preserve">*Overall styling overhaul </t>
  </si>
  <si>
    <t>In Progress</t>
  </si>
  <si>
    <t xml:space="preserve">*Simplify chef stripe signup without moving to app </t>
  </si>
  <si>
    <t xml:space="preserve">Coupon code functionality </t>
  </si>
  <si>
    <t>Medium</t>
  </si>
  <si>
    <t xml:space="preserve">**Overhaul entire chef signup flow (not 1 long form, prepopulate stuff if available, address auto finish) </t>
  </si>
  <si>
    <t>*AI for menu page</t>
  </si>
  <si>
    <t>Move from AWS to Railway</t>
  </si>
  <si>
    <t>**Calendar overhaul</t>
  </si>
  <si>
    <t xml:space="preserve">Enable camera roll option for chef profile pic </t>
  </si>
  <si>
    <t>Show Current Location on Home  tab</t>
  </si>
  <si>
    <t>Automatic reload when new zip code is added by Admin</t>
  </si>
  <si>
    <t>Low</t>
  </si>
  <si>
    <t>Dialog box on ‘cancel order’ button in case user accidentally taps it</t>
  </si>
  <si>
    <t>Time window for chef accepting order and Stripe logic for full refund if Chef does NOT accept order</t>
  </si>
  <si>
    <t>Backend logic to generate AI-generated reviews for a chef everytime a review is submitted for that chef</t>
  </si>
  <si>
    <t>Bug</t>
  </si>
  <si>
    <t>Categories (including time of day filters) not functioning</t>
  </si>
  <si>
    <t xml:space="preserve">Order receipt for chef doesn’t show added customizations written out </t>
  </si>
  <si>
    <t>Closed order status needs to update based on certain user actions (If customer/chef cancels order, order is Closed and no further action can be made. If customer submits review, order is Closed and no further action can be made</t>
  </si>
  <si>
    <t>From Order Date selection, ONLY able to tap back button to return to the current day, if user has the exact DAY OF WEEK selected as is the current day (e.g., today is Wednesday; if looking at next week, user can only tap back button when on Wed, not Tue)</t>
  </si>
  <si>
    <t>UTC time zone for customer seeing chef availability (ordering for tomorrow)</t>
  </si>
  <si>
    <t>Words being cut off on the end (last letter) on Android</t>
  </si>
  <si>
    <t>On my Way' and 'Order Complete' notification verbiage</t>
  </si>
  <si>
    <t>Add Menu Item Image</t>
  </si>
  <si>
    <t>Android keyboard blocks special instructions textbox. Keyboard also blocks chat screen between customer and chef</t>
  </si>
  <si>
    <t>Order request text message to chef is missing first name of customer</t>
  </si>
  <si>
    <t>Android Tip/Review screen verbiage checks</t>
  </si>
  <si>
    <t>Regular reminder notifications to order (2pm ish on random weekdays)</t>
  </si>
  <si>
    <t>Profile (bio and hours) not visible from Admin Panel pre activation</t>
  </si>
  <si>
    <t>Pre-activation</t>
  </si>
  <si>
    <t>Remove Serving Size and replace with MOQ (every item serves 1 person to start); except for meal prep items</t>
  </si>
  <si>
    <t>TMA-034</t>
  </si>
  <si>
    <t>Automatic app updates for users</t>
  </si>
  <si>
    <t>Add Stripe Transaction notifications</t>
  </si>
  <si>
    <t>https://dashboard.stripe.com/acct_1KWXqKKujvfsOOCM/workbench/webhooks</t>
  </si>
  <si>
    <t>Email Campaign Automation</t>
  </si>
  <si>
    <t>Look into Make.com</t>
  </si>
  <si>
    <t>Switch Review character account from 100 to 200</t>
  </si>
  <si>
    <t>Assure all time values in Admin Panel are set to EST (or EDT)</t>
  </si>
  <si>
    <t>Add time blockout logic for before, during, and after already-accepted orders</t>
  </si>
  <si>
    <t>Replace onboarding graphics with masks for ones without masks</t>
  </si>
  <si>
    <t>Chef button to notify customer of arrival; "Your chef has arrived."</t>
  </si>
  <si>
    <t>Reminder to Chef to put bag/cooler on floor and wash hands</t>
  </si>
  <si>
    <t>Create Menu Item flow to start with "Standard? Ideal for customers wanting a dish for that evening" or "Meal Prep? Ideal for customers wanting to reheat over a week"</t>
  </si>
  <si>
    <t>Chef messaging to avoid frozen ingredients (proteins) when creating menu items</t>
  </si>
  <si>
    <t>Reminder to Chef to turn off any appliances and wipe down surfaces at the time of the order completion (based on arrival time and completion time)</t>
  </si>
  <si>
    <t>Reminder to Chef that order should almost be complete</t>
  </si>
  <si>
    <t>when order is 10 minutes to completion (based on arrival time and completion time)</t>
  </si>
  <si>
    <t>Alternate time selection field layouts for Android</t>
  </si>
  <si>
    <t>Option for chef to request a New Allergen when creating a menu item</t>
  </si>
  <si>
    <t>"Free parking available?" checkbox on Customer side for Chef</t>
  </si>
  <si>
    <t>Android Chef Profile Not Erasing After Deleting</t>
  </si>
  <si>
    <t>Speed/performance</t>
  </si>
  <si>
    <r>
      <rPr>
        <sz val="11"/>
        <color rgb="FF000000"/>
        <rFont val="Calibri"/>
        <scheme val="minor"/>
      </rPr>
      <t xml:space="preserve">point out </t>
    </r>
    <r>
      <rPr>
        <b/>
        <sz val="11"/>
        <color rgb="FF000000"/>
        <rFont val="Calibri"/>
        <scheme val="minor"/>
      </rPr>
      <t xml:space="preserve">specific </t>
    </r>
    <r>
      <rPr>
        <sz val="11"/>
        <color rgb="FF000000"/>
        <rFont val="Calibri"/>
        <scheme val="minor"/>
      </rPr>
      <t>areas (viewing Chefs Available between dates on Home tab)</t>
    </r>
  </si>
  <si>
    <t>Live updating from Pending to Active Chef UI on Android</t>
  </si>
  <si>
    <t>Birthday date field inaccurate for Customers page on STAGING admin panel</t>
  </si>
  <si>
    <t>Link Tip/Review page and other pages in Twilio notification</t>
  </si>
  <si>
    <t>Google signup capability</t>
  </si>
  <si>
    <t>In-app bug/issue reporting</t>
  </si>
  <si>
    <t>SMS notifications for chats between customer and chef</t>
  </si>
  <si>
    <t>Unable to order from chef for tomorrow (without chef live-overriding)</t>
  </si>
  <si>
    <t>"Middle ground" solution where customer opens the app to the first day where chefs are confirmed available ?</t>
  </si>
  <si>
    <t>iOS Stripe step asking for Statement Descriptor</t>
  </si>
  <si>
    <t>Add qty adjustment buttons to Customizations when ordering</t>
  </si>
  <si>
    <t>Sprint 1</t>
  </si>
  <si>
    <t>Not Started</t>
  </si>
  <si>
    <t>NA</t>
  </si>
  <si>
    <t>Strategy around dealing with Stripe accounts linked to different email than what’s linked to Taist account</t>
  </si>
  <si>
    <t>General overhaul of menu item (split form into multiple pages)</t>
  </si>
  <si>
    <t xml:space="preserve">Add minimum order qty field for chefs
</t>
  </si>
  <si>
    <t xml:space="preserve">Category overhaul (allow items to go live with an "Other" category </t>
  </si>
  <si>
    <t>Demand-gated background checks</t>
  </si>
  <si>
    <t>Temporarily build off existing zip code logic currently pertaining to only customer signups. Con: cannot build up chef profiles in areas ahead of opening in new market (size of issue dependent on actual leadtime of creating a chef profile)</t>
  </si>
  <si>
    <t>Link Privacy Policy and Terms pages</t>
  </si>
  <si>
    <t>Nothing currently loads for both</t>
  </si>
  <si>
    <t>Not able to disable PNs and Location Services upon signup</t>
  </si>
  <si>
    <t>Comment or Picture</t>
  </si>
  <si>
    <t>Author</t>
  </si>
  <si>
    <t>Date</t>
  </si>
  <si>
    <r>
      <rPr>
        <b/>
        <sz val="11"/>
        <color rgb="FF1B1B1F"/>
        <rFont val="Calibri"/>
      </rPr>
      <t xml:space="preserve">Example 1: </t>
    </r>
    <r>
      <rPr>
        <sz val="11"/>
        <color rgb="FF1B1B1F"/>
        <rFont val="Calibri"/>
      </rPr>
      <t xml:space="preserve">Grilled lemon-garlic chicken (or tofu), turmeric quinoa, roasted rainbow veggies, avocado fan, tahini-lime drizzle, and microgreens
</t>
    </r>
    <r>
      <rPr>
        <b/>
        <sz val="11"/>
        <color rgb="FF1B1B1F"/>
        <rFont val="Calibri"/>
      </rPr>
      <t>Example 2:</t>
    </r>
    <r>
      <rPr>
        <sz val="11"/>
        <color rgb="FF1B1B1F"/>
        <rFont val="Calibri"/>
      </rPr>
      <t xml:space="preserve"> Chickpea pasta in roasted red pepper cashew cream, sautéed spinach, blistered cherry tomatoes, tomato basil chicken sausage, and garlic herb sourdough	
</t>
    </r>
    <r>
      <rPr>
        <b/>
        <sz val="11"/>
        <color rgb="FF1B1B1F"/>
        <rFont val="Calibri"/>
      </rPr>
      <t>Example 3</t>
    </r>
    <r>
      <rPr>
        <sz val="11"/>
        <color rgb="FF1B1B1F"/>
        <rFont val="Calibri"/>
      </rPr>
      <t>: • Day 1: Blackened salmon, wild rice, grilled asparagus • Day 2: Bison meatballs, sweet potato mash, sautéed kale • Day 3: Sauteed Korean BBQ chicken thighs, broccoli, and jasmine rice</t>
    </r>
  </si>
  <si>
    <t>Dayne</t>
  </si>
  <si>
    <t>CAN see Profile on Admin Panel upon activating the chef</t>
  </si>
  <si>
    <t>Assuring size of text and objects is proportional to device screen
Assuring white "flash" box is removed when loading into app</t>
  </si>
  <si>
    <t>https://teamtaist.sharepoint.com/:i:/s/Taist2/IQClpkwtP2YYQaj_rRyCZUFNAbqJhhrWTbYYABngX6kSNUU?e=YicLpL</t>
  </si>
  <si>
    <t>https://teamtaist.sharepoint.com/:i:/s/Taist2/IQDfYV_GLez0QZhNZiFb8w7HAcFgLkVSXghvKsfuaA0ceMc?e=KOGDCM</t>
  </si>
  <si>
    <t>Centering logo and signup/login buttons on Welcome Page
Eliminating white-on-white logos</t>
  </si>
  <si>
    <r>
      <rPr>
        <sz val="11"/>
        <color rgb="FF000000"/>
        <rFont val="Calibri"/>
        <scheme val="minor"/>
      </rPr>
      <t xml:space="preserve">Using </t>
    </r>
    <r>
      <rPr>
        <b/>
        <sz val="11"/>
        <color rgb="FF000000"/>
        <rFont val="Calibri"/>
        <scheme val="minor"/>
      </rPr>
      <t xml:space="preserve">Resend </t>
    </r>
    <r>
      <rPr>
        <sz val="11"/>
        <color rgb="FF000000"/>
        <rFont val="Calibri"/>
        <scheme val="minor"/>
      </rPr>
      <t>for transactional emails
Need to look into marketing (time-based) emails towards customers and chefs</t>
    </r>
  </si>
  <si>
    <t>Can chef be taken back to Home tab after creating first menu item?</t>
  </si>
  <si>
    <t>Can chef be shown the Home tab (instead of inside Step 4), if not taken directly back to Home tab automatically after completing stripe account</t>
  </si>
  <si>
    <t xml:space="preserve">Description </t>
  </si>
  <si>
    <t>Initial Est. Hours</t>
  </si>
  <si>
    <t>Sprint #</t>
  </si>
  <si>
    <t>Start Date</t>
  </si>
  <si>
    <t>End Date (Actual)</t>
  </si>
  <si>
    <t>Total Hours</t>
  </si>
  <si>
    <t>Initials</t>
  </si>
  <si>
    <t>Name</t>
  </si>
  <si>
    <t>AA</t>
  </si>
  <si>
    <t>DA</t>
  </si>
  <si>
    <t>Daryl</t>
  </si>
  <si>
    <t>BG</t>
  </si>
  <si>
    <t>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</si>
</sst>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name val="Calibri"/>
    </font>
    <font>
      <sz val="11"/>
      <color rgb="FF000000"/>
      <name val="Aptos Narrow"/>
      <family val="2"/>
    </font>
    <font>
      <sz val="9"/>
      <color indexed="81"/>
      <name val="Tahoma"/>
      <family val="2"/>
    </font>
    <font>
      <b/>
      <sz val="9"/>
      <color indexed="81"/>
      <name val="Tahoma"/>
      <family val="2"/>
    </font>
    <font>
      <u/>
      <sz val="11"/>
      <color theme="10"/>
      <name val="Calibri"/>
      <family val="2"/>
      <scheme val="minor"/>
    </font>
    <font>
      <sz val="11"/>
      <color theme="0"/>
      <name val="Calibri"/>
      <family val="2"/>
    </font>
    <font>
      <sz val="11"/>
      <name val="Calibri"/>
    </font>
    <font>
      <sz val="11"/>
      <color theme="0"/>
      <name val="Calibri"/>
    </font>
    <font>
      <sz val="11"/>
      <color rgb="FF1B1B1F"/>
      <name val="Calibri"/>
      <scheme val="minor"/>
    </font>
    <font>
      <b/>
      <sz val="11"/>
      <color rgb="FF1B1B1F"/>
      <name val="Calibri"/>
    </font>
    <font>
      <sz val="11"/>
      <color rgb="FF1B1B1F"/>
      <name val="Calibri"/>
    </font>
    <font>
      <u/>
      <sz val="11"/>
      <color theme="1"/>
      <name val="Calibri"/>
      <family val="2"/>
      <scheme val="minor"/>
    </font>
    <font>
      <u/>
      <sz val="11"/>
      <color theme="0"/>
      <name val="Calibri"/>
      <family val="2"/>
      <scheme val="minor"/>
    </font>
    <font>
      <u/>
      <sz val="11"/>
      <color theme="0"/>
      <name val="Calibri"/>
    </font>
    <font>
      <u/>
      <sz val="11"/>
      <color theme="0"/>
      <name val="Calibri"/>
      <family val="2"/>
    </font>
    <font>
      <u/>
      <sz val="11"/>
      <color rgb="FF000000"/>
      <name val="Aptos Narrow"/>
      <family val="2"/>
    </font>
    <font>
      <sz val="11"/>
      <color rgb="FF000000"/>
      <name val="Calibri"/>
      <scheme val="minor"/>
    </font>
    <font>
      <u/>
      <sz val="11"/>
      <color rgb="FF000000"/>
      <name val="Calibri"/>
      <scheme val="minor"/>
    </font>
    <font>
      <b/>
      <sz val="11"/>
      <color rgb="FF000000"/>
      <name val="Calibri"/>
      <scheme val="minor"/>
    </font>
  </fonts>
  <fills count="7">
    <fill>
      <patternFill patternType="none"/>
    </fill>
    <fill>
      <patternFill patternType="gray125"/>
    </fill>
    <fill>
      <patternFill patternType="solid">
        <fgColor rgb="FFFFFFFF"/>
        <bgColor indexed="64"/>
      </patternFill>
    </fill>
    <fill>
      <patternFill patternType="solid">
        <fgColor rgb="FF002060"/>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right/>
      <top/>
      <bottom style="medium">
        <color rgb="FF000000"/>
      </bottom>
      <diagonal/>
    </border>
  </borders>
  <cellStyleXfs count="2">
    <xf numFmtId="0" fontId="0" fillId="0" borderId="0"/>
    <xf numFmtId="0" fontId="5" fillId="0" borderId="0" applyNumberFormat="0" applyFill="0" applyBorder="0" applyAlignment="0" applyProtection="0"/>
  </cellStyleXfs>
  <cellXfs count="74">
    <xf numFmtId="0" fontId="0" fillId="0" borderId="0" xfId="0"/>
    <xf numFmtId="0" fontId="1" fillId="0" borderId="0" xfId="0" applyFont="1"/>
    <xf numFmtId="14" fontId="0" fillId="0" borderId="0" xfId="0" applyNumberFormat="1"/>
    <xf numFmtId="0" fontId="0" fillId="0" borderId="0" xfId="0" applyAlignment="1">
      <alignment wrapText="1"/>
    </xf>
    <xf numFmtId="0" fontId="0" fillId="0" borderId="0" xfId="0" applyAlignment="1">
      <alignment horizontal="left"/>
    </xf>
    <xf numFmtId="0" fontId="7" fillId="0" borderId="0" xfId="0" applyFont="1"/>
    <xf numFmtId="14" fontId="7" fillId="0" borderId="0" xfId="0" applyNumberFormat="1" applyFont="1"/>
    <xf numFmtId="0" fontId="0" fillId="0" borderId="0" xfId="0" applyAlignment="1">
      <alignment horizontal="right"/>
    </xf>
    <xf numFmtId="0" fontId="0" fillId="0" borderId="0" xfId="0" applyAlignment="1">
      <alignment horizontal="center" vertical="center"/>
    </xf>
    <xf numFmtId="0" fontId="8" fillId="3" borderId="0" xfId="0" applyFont="1" applyFill="1" applyAlignment="1">
      <alignment horizontal="center" vertical="center"/>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14" fontId="6" fillId="3" borderId="0" xfId="0" applyNumberFormat="1" applyFont="1" applyFill="1" applyAlignment="1">
      <alignment horizontal="center" vertical="center" wrapText="1"/>
    </xf>
    <xf numFmtId="14" fontId="8" fillId="3" borderId="0" xfId="0" applyNumberFormat="1" applyFont="1" applyFill="1" applyAlignment="1">
      <alignment horizontal="center" vertical="center"/>
    </xf>
    <xf numFmtId="14" fontId="0" fillId="0" borderId="0" xfId="0" applyNumberFormat="1" applyAlignment="1">
      <alignment horizontal="center" vertical="center"/>
    </xf>
    <xf numFmtId="0" fontId="8" fillId="0" borderId="0" xfId="0" applyFont="1" applyAlignment="1">
      <alignment horizontal="center" vertical="center"/>
    </xf>
    <xf numFmtId="0" fontId="9" fillId="2" borderId="0" xfId="0" applyFont="1" applyFill="1" applyAlignment="1">
      <alignment wrapText="1"/>
    </xf>
    <xf numFmtId="0" fontId="5" fillId="0" borderId="0" xfId="1" applyAlignment="1">
      <alignment wrapText="1"/>
    </xf>
    <xf numFmtId="0" fontId="5" fillId="0" borderId="0" xfId="1"/>
    <xf numFmtId="0" fontId="11" fillId="2" borderId="0" xfId="0" applyFont="1" applyFill="1" applyAlignment="1">
      <alignment vertical="top" wrapText="1"/>
    </xf>
    <xf numFmtId="0" fontId="12" fillId="4" borderId="0" xfId="0" applyFont="1" applyFill="1"/>
    <xf numFmtId="0" fontId="12" fillId="0" borderId="0" xfId="0" applyFont="1"/>
    <xf numFmtId="0" fontId="12" fillId="0" borderId="0" xfId="0" applyFont="1" applyAlignment="1">
      <alignment horizontal="center" vertical="center"/>
    </xf>
    <xf numFmtId="14" fontId="12" fillId="0" borderId="0" xfId="0" applyNumberFormat="1" applyFont="1"/>
    <xf numFmtId="0" fontId="12" fillId="3" borderId="0" xfId="0" applyFont="1" applyFill="1"/>
    <xf numFmtId="0" fontId="12" fillId="3" borderId="0" xfId="0" applyFont="1" applyFill="1" applyAlignment="1">
      <alignment horizontal="center" vertical="center"/>
    </xf>
    <xf numFmtId="14" fontId="12" fillId="3" borderId="0" xfId="0" applyNumberFormat="1" applyFont="1" applyFill="1" applyAlignment="1">
      <alignment horizontal="center" vertical="center"/>
    </xf>
    <xf numFmtId="0" fontId="13" fillId="3" borderId="0" xfId="0" applyFont="1" applyFill="1" applyAlignment="1">
      <alignment horizontal="right" vertical="center"/>
    </xf>
    <xf numFmtId="0" fontId="13" fillId="3" borderId="0" xfId="0" applyFont="1" applyFill="1" applyAlignment="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0" fontId="15" fillId="3" borderId="0" xfId="0" applyFont="1" applyFill="1" applyAlignment="1">
      <alignment horizontal="center" vertical="center" wrapText="1"/>
    </xf>
    <xf numFmtId="14" fontId="14" fillId="3" borderId="0" xfId="0" applyNumberFormat="1" applyFont="1" applyFill="1" applyAlignment="1">
      <alignment horizontal="center" vertical="center"/>
    </xf>
    <xf numFmtId="0" fontId="13" fillId="3" borderId="0" xfId="0" applyFont="1" applyFill="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6" fillId="0" borderId="0" xfId="0" applyFont="1" applyAlignment="1">
      <alignment horizontal="center" vertical="center" wrapText="1"/>
    </xf>
    <xf numFmtId="0" fontId="16" fillId="0" borderId="0" xfId="0" applyFont="1" applyAlignment="1">
      <alignment horizontal="center" vertical="center"/>
    </xf>
    <xf numFmtId="0" fontId="12" fillId="0" borderId="1" xfId="0" applyFont="1" applyBorder="1"/>
    <xf numFmtId="0" fontId="12" fillId="0" borderId="1" xfId="0" applyFont="1" applyBorder="1" applyAlignment="1">
      <alignment horizontal="center" vertical="center"/>
    </xf>
    <xf numFmtId="14" fontId="12" fillId="0" borderId="1" xfId="0" applyNumberFormat="1" applyFont="1" applyBorder="1"/>
    <xf numFmtId="0" fontId="16" fillId="0" borderId="1" xfId="0" applyFont="1" applyBorder="1" applyAlignment="1">
      <alignment horizontal="center" vertical="center"/>
    </xf>
    <xf numFmtId="0" fontId="12" fillId="4" borderId="0" xfId="0" applyFont="1" applyFill="1" applyAlignment="1">
      <alignment horizontal="center" vertical="center"/>
    </xf>
    <xf numFmtId="14" fontId="12" fillId="4" borderId="0" xfId="0" applyNumberFormat="1" applyFont="1" applyFill="1"/>
    <xf numFmtId="0" fontId="18" fillId="4" borderId="0" xfId="0" applyFont="1" applyFill="1"/>
    <xf numFmtId="14" fontId="0" fillId="0" borderId="0" xfId="0" applyNumberFormat="1" applyAlignment="1">
      <alignment horizontal="right"/>
    </xf>
    <xf numFmtId="0" fontId="5" fillId="0" borderId="0" xfId="1" applyFill="1" applyBorder="1" applyAlignment="1"/>
    <xf numFmtId="0" fontId="5" fillId="0" borderId="1" xfId="1" applyFill="1" applyBorder="1" applyAlignment="1"/>
    <xf numFmtId="0" fontId="17" fillId="4" borderId="0" xfId="0" applyFont="1" applyFill="1"/>
    <xf numFmtId="0" fontId="5" fillId="4" borderId="0" xfId="1" applyFill="1" applyAlignment="1"/>
    <xf numFmtId="0" fontId="17" fillId="0" borderId="0" xfId="0" applyFont="1" applyAlignment="1">
      <alignment wrapText="1"/>
    </xf>
    <xf numFmtId="0" fontId="12" fillId="4" borderId="0" xfId="0" applyFont="1" applyFill="1" applyAlignment="1">
      <alignment horizontal="center"/>
    </xf>
    <xf numFmtId="0" fontId="12" fillId="5" borderId="0" xfId="0" applyFont="1" applyFill="1"/>
    <xf numFmtId="0" fontId="12" fillId="5" borderId="0" xfId="0" applyFont="1" applyFill="1" applyAlignment="1">
      <alignment horizontal="center" vertical="center"/>
    </xf>
    <xf numFmtId="14" fontId="12" fillId="5" borderId="0" xfId="0" applyNumberFormat="1" applyFont="1" applyFill="1"/>
    <xf numFmtId="0" fontId="12" fillId="5" borderId="0" xfId="0" quotePrefix="1" applyFont="1" applyFill="1"/>
    <xf numFmtId="0" fontId="12" fillId="5" borderId="1" xfId="0" applyFont="1" applyFill="1" applyBorder="1"/>
    <xf numFmtId="0" fontId="12" fillId="5" borderId="1" xfId="0" applyFont="1" applyFill="1" applyBorder="1" applyAlignment="1">
      <alignment horizontal="center" vertical="center"/>
    </xf>
    <xf numFmtId="14" fontId="12" fillId="5" borderId="1" xfId="0" applyNumberFormat="1" applyFont="1" applyFill="1" applyBorder="1"/>
    <xf numFmtId="14" fontId="0" fillId="6" borderId="0" xfId="0" applyNumberFormat="1" applyFill="1"/>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13" fillId="3" borderId="0" xfId="0" applyFont="1" applyFill="1" applyAlignment="1">
      <alignment horizontal="center" vertical="top" wrapText="1"/>
    </xf>
    <xf numFmtId="0" fontId="0" fillId="4" borderId="0" xfId="0" applyFill="1"/>
    <xf numFmtId="0" fontId="5" fillId="4" borderId="0" xfId="1" applyFill="1" applyBorder="1"/>
    <xf numFmtId="0" fontId="0" fillId="4" borderId="0" xfId="0" applyFill="1" applyAlignment="1">
      <alignment vertical="top" wrapText="1"/>
    </xf>
    <xf numFmtId="0" fontId="0" fillId="4" borderId="0" xfId="0" applyFill="1" applyAlignment="1">
      <alignment wrapText="1"/>
    </xf>
    <xf numFmtId="0" fontId="0" fillId="4" borderId="0" xfId="0" applyFill="1" applyAlignment="1">
      <alignment horizontal="left" vertical="top" wrapText="1"/>
    </xf>
    <xf numFmtId="14" fontId="0" fillId="4" borderId="0" xfId="0" applyNumberFormat="1" applyFill="1"/>
    <xf numFmtId="0" fontId="2" fillId="4" borderId="0" xfId="0" applyFont="1" applyFill="1" applyAlignment="1">
      <alignment horizontal="left" wrapText="1"/>
    </xf>
    <xf numFmtId="0" fontId="0" fillId="4" borderId="0" xfId="0" applyFill="1" applyAlignment="1">
      <alignment horizontal="center" vertical="center"/>
    </xf>
    <xf numFmtId="0" fontId="2" fillId="4" borderId="0" xfId="0" applyFont="1" applyFill="1" applyAlignment="1">
      <alignment horizontal="center" vertical="center" wrapText="1"/>
    </xf>
    <xf numFmtId="14" fontId="0" fillId="4" borderId="0" xfId="0" applyNumberFormat="1" applyFill="1" applyAlignment="1">
      <alignment wrapText="1"/>
    </xf>
    <xf numFmtId="0" fontId="0" fillId="4" borderId="0" xfId="0" applyFill="1" applyAlignment="1">
      <alignment horizontal="center" vertical="center" wrapText="1"/>
    </xf>
  </cellXfs>
  <cellStyles count="2">
    <cellStyle name="Hyperlink" xfId="1" builtinId="8"/>
    <cellStyle name="Normal" xfId="0" builtinId="0"/>
  </cellStyles>
  <dxfs count="17">
    <dxf>
      <fill>
        <patternFill patternType="solid">
          <fgColor rgb="FFFFCDD2"/>
          <bgColor rgb="FFFFCDD2"/>
        </patternFill>
      </fill>
    </dxf>
    <dxf>
      <fill>
        <patternFill patternType="solid">
          <fgColor rgb="FFFFE0B2"/>
          <bgColor rgb="FFFFE0B2"/>
        </patternFill>
      </fill>
    </dxf>
    <dxf>
      <fill>
        <patternFill patternType="solid">
          <fgColor rgb="FFFFF9C4"/>
          <bgColor rgb="FFFFF9C4"/>
        </patternFill>
      </fill>
    </dxf>
    <dxf>
      <fill>
        <patternFill patternType="solid">
          <fgColor rgb="FFC8E6C9"/>
          <bgColor rgb="FFC8E6C9"/>
        </patternFill>
      </fill>
    </dxf>
    <dxf>
      <fill>
        <patternFill patternType="solid">
          <fgColor rgb="FFBBDEFB"/>
          <bgColor rgb="FFBBDEFB"/>
        </patternFill>
      </fill>
    </dxf>
    <dxf>
      <fill>
        <patternFill patternType="solid">
          <fgColor rgb="FFFFF9C4"/>
          <bgColor rgb="FFFFF9C4"/>
        </patternFill>
      </fill>
    </dxf>
    <dxf>
      <fill>
        <patternFill patternType="solid">
          <fgColor rgb="FFFFEBEE"/>
          <bgColor rgb="FFFFEBEE"/>
        </patternFill>
      </fill>
    </dxf>
    <dxf>
      <fill>
        <patternFill patternType="solid">
          <fgColor rgb="FFFFCDD2"/>
          <bgColor rgb="FFFFCDD2"/>
        </patternFill>
      </fill>
    </dxf>
    <dxf>
      <fill>
        <patternFill patternType="solid">
          <fgColor rgb="FFFFE0B2"/>
          <bgColor rgb="FFFFE0B2"/>
        </patternFill>
      </fill>
    </dxf>
    <dxf>
      <fill>
        <patternFill patternType="solid">
          <fgColor rgb="FFFFF9C4"/>
          <bgColor rgb="FFFFF9C4"/>
        </patternFill>
      </fill>
    </dxf>
    <dxf>
      <fill>
        <patternFill patternType="solid">
          <fgColor rgb="FFC8E6C9"/>
          <bgColor rgb="FFC8E6C9"/>
        </patternFill>
      </fill>
    </dxf>
    <dxf>
      <fill>
        <patternFill patternType="solid">
          <fgColor rgb="FFBBDEFB"/>
          <bgColor rgb="FFBBDEFB"/>
        </patternFill>
      </fill>
    </dxf>
    <dxf>
      <fill>
        <patternFill patternType="solid">
          <fgColor rgb="FFFFF9C4"/>
          <bgColor rgb="FFFFF9C4"/>
        </patternFill>
      </fill>
    </dxf>
    <dxf>
      <fill>
        <patternFill patternType="solid">
          <fgColor rgb="FFFFEBEE"/>
          <bgColor rgb="FFFFEBEE"/>
        </patternFill>
      </fill>
    </dxf>
    <dxf>
      <fill>
        <patternFill patternType="solid">
          <fgColor rgb="FFFFCDD2"/>
          <bgColor rgb="FFFFCDD2"/>
        </patternFill>
      </fill>
    </dxf>
    <dxf>
      <fill>
        <patternFill patternType="solid">
          <fgColor rgb="FFFFE0B2"/>
          <bgColor rgb="FFFFE0B2"/>
        </patternFill>
      </fill>
    </dxf>
    <dxf>
      <fill>
        <patternFill patternType="solid">
          <fgColor rgb="FFFFF9C4"/>
          <bgColor rgb="FFFFF9C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shboard.stripe.com/acct_1KWXqKKujvfsOOCM/workbench/webhooks" TargetMode="External"/><Relationship Id="rId2" Type="http://schemas.openxmlformats.org/officeDocument/2006/relationships/hyperlink" Target="../../../../../../../../../:x:/r/sites/Taist2/_layouts/15/Doc.aspx?sourcedoc=%7B3F27EE3B-617C-4D18-95D5-9ED3710840AA%7D&amp;file=20251015_TMA%20Sprint%201_v01.xlsx&amp;action=default&amp;mobileredirect=true" TargetMode="External"/><Relationship Id="rId1" Type="http://schemas.openxmlformats.org/officeDocument/2006/relationships/hyperlink" Target="../../../../../../../../../:x:/r/sites/Taist2/_layouts/15/Doc.aspx?sourcedoc=%7B3F27EE3B-617C-4D18-95D5-9ED3710840AA%7D&amp;file=20251015_TMA%20Sprint%201_v01.xlsx&amp;action=default&amp;mobileredirect=true" TargetMode="External"/><Relationship Id="rId4" Type="http://schemas.openxmlformats.org/officeDocument/2006/relationships/hyperlink" Target="../../../../../../../../../:x:/r/sites/Taist2/_layouts/15/Doc.aspx?sourcedoc=%7B3F27EE3B-617C-4D18-95D5-9ED3710840AA%7D&amp;file=20251015_TMA%20Sprint%201_v01.xlsx&amp;action=default&amp;mobileredirect=tru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teamtaist.sharepoint.com/:i:/s/Taist2/IQDfYV_GLez0QZhNZiFb8w7HAcFgLkVSXghvKsfuaA0ceMc?e=KOGDCM" TargetMode="External"/><Relationship Id="rId1" Type="http://schemas.openxmlformats.org/officeDocument/2006/relationships/hyperlink" Target="https://teamtaist.sharepoint.com/:i:/s/Taist2/IQClpkwtP2YYQaj_rRyCZUFNAbqJhhrWTbYYABngX6kSNUU?e=YicLpL"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P73"/>
  <sheetViews>
    <sheetView showGridLines="0" tabSelected="1" topLeftCell="F1" workbookViewId="0">
      <pane ySplit="8" topLeftCell="B70" activePane="bottomLeft" state="frozen"/>
      <selection pane="bottomLeft" activeCell="F73" sqref="F73"/>
      <selection activeCell="F1" sqref="F1"/>
    </sheetView>
  </sheetViews>
  <sheetFormatPr defaultColWidth="9.140625" defaultRowHeight="15"/>
  <cols>
    <col min="1" max="2" width="2.28515625" style="52" customWidth="1"/>
    <col min="3" max="3" width="5.85546875" style="53" bestFit="1" customWidth="1"/>
    <col min="4" max="4" width="9.5703125" style="52" customWidth="1"/>
    <col min="5" max="5" width="4.85546875" style="52" bestFit="1" customWidth="1"/>
    <col min="6" max="6" width="130.85546875" style="52" customWidth="1"/>
    <col min="7" max="7" width="13.85546875" style="52" customWidth="1"/>
    <col min="8" max="8" width="8.5703125" style="52" customWidth="1"/>
    <col min="9" max="9" width="12.7109375" style="52" bestFit="1" customWidth="1"/>
    <col min="10" max="10" width="11.28515625" style="52" bestFit="1" customWidth="1"/>
    <col min="11" max="11" width="12.42578125" style="52" customWidth="1"/>
    <col min="12" max="12" width="10.7109375" style="52" bestFit="1" customWidth="1"/>
    <col min="13" max="13" width="10.140625" style="54" bestFit="1" customWidth="1"/>
    <col min="14" max="14" width="7.85546875" style="53" customWidth="1"/>
    <col min="15" max="15" width="2.140625" style="52" customWidth="1"/>
    <col min="16" max="16" width="1.85546875" style="52" customWidth="1"/>
    <col min="17" max="16384" width="9.140625" style="52"/>
  </cols>
  <sheetData>
    <row r="1" spans="2:16" s="21" customFormat="1">
      <c r="C1" s="22"/>
      <c r="I1" s="22"/>
      <c r="M1" s="23"/>
      <c r="N1" s="22"/>
    </row>
    <row r="2" spans="2:16" s="21" customFormat="1">
      <c r="B2" s="24"/>
      <c r="C2" s="25"/>
      <c r="D2" s="25"/>
      <c r="E2" s="25"/>
      <c r="F2" s="25"/>
      <c r="G2" s="25"/>
      <c r="H2" s="25"/>
      <c r="I2" s="25"/>
      <c r="J2" s="25"/>
      <c r="K2" s="25"/>
      <c r="L2" s="25"/>
      <c r="M2" s="26"/>
      <c r="N2" s="25"/>
      <c r="O2" s="24"/>
      <c r="P2" s="25"/>
    </row>
    <row r="3" spans="2:16" s="21" customFormat="1">
      <c r="B3" s="24"/>
      <c r="C3" s="25"/>
      <c r="D3" s="25"/>
      <c r="E3" s="25"/>
      <c r="F3" s="27" t="s">
        <v>0</v>
      </c>
      <c r="G3" s="28">
        <f>Sprints!C6</f>
        <v>2</v>
      </c>
      <c r="H3" s="25"/>
      <c r="I3" s="25"/>
      <c r="J3" s="25"/>
      <c r="K3" s="25"/>
      <c r="L3" s="25"/>
      <c r="M3" s="26"/>
      <c r="N3" s="25"/>
      <c r="O3" s="24"/>
      <c r="P3" s="25"/>
    </row>
    <row r="4" spans="2:16" s="21" customFormat="1">
      <c r="B4" s="24"/>
      <c r="C4" s="25"/>
      <c r="D4" s="25"/>
      <c r="E4" s="25"/>
      <c r="F4" s="27" t="s">
        <v>1</v>
      </c>
      <c r="G4" s="28">
        <f>_xlfn.DAYS(Sprints!E6,Sprints!D6)</f>
        <v>-46065</v>
      </c>
      <c r="H4" s="25"/>
      <c r="I4" s="25"/>
      <c r="J4" s="25"/>
      <c r="K4" s="25"/>
      <c r="L4" s="25"/>
      <c r="M4" s="26"/>
      <c r="N4" s="25"/>
      <c r="O4" s="24"/>
      <c r="P4" s="25"/>
    </row>
    <row r="5" spans="2:16" s="21" customFormat="1">
      <c r="B5" s="24"/>
      <c r="C5" s="25"/>
      <c r="D5" s="25"/>
      <c r="E5" s="25"/>
      <c r="F5" s="25"/>
      <c r="G5" s="24"/>
      <c r="H5" s="25"/>
      <c r="I5" s="25"/>
      <c r="J5" s="25"/>
      <c r="K5" s="25"/>
      <c r="L5" s="25"/>
      <c r="M5" s="26"/>
      <c r="N5" s="25"/>
      <c r="O5" s="24"/>
      <c r="P5" s="25"/>
    </row>
    <row r="6" spans="2:16" s="22" customFormat="1" ht="45.75">
      <c r="B6" s="25"/>
      <c r="C6" s="28" t="s">
        <v>0</v>
      </c>
      <c r="D6" s="29" t="s">
        <v>2</v>
      </c>
      <c r="E6" s="30" t="s">
        <v>3</v>
      </c>
      <c r="F6" s="30" t="s">
        <v>4</v>
      </c>
      <c r="G6" s="30" t="s">
        <v>5</v>
      </c>
      <c r="H6" s="28" t="s">
        <v>6</v>
      </c>
      <c r="I6" s="32" t="s">
        <v>7</v>
      </c>
      <c r="J6" s="28" t="s">
        <v>8</v>
      </c>
      <c r="K6" s="31" t="s">
        <v>9</v>
      </c>
      <c r="L6" s="28" t="s">
        <v>10</v>
      </c>
      <c r="M6" s="28" t="s">
        <v>11</v>
      </c>
      <c r="N6" s="62" t="s">
        <v>12</v>
      </c>
      <c r="O6" s="25"/>
      <c r="P6" s="25"/>
    </row>
    <row r="7" spans="2:16" s="21" customFormat="1">
      <c r="B7" s="24"/>
      <c r="C7" s="28"/>
      <c r="D7" s="33"/>
      <c r="E7" s="33"/>
      <c r="F7" s="33"/>
      <c r="G7" s="33"/>
      <c r="H7" s="33"/>
      <c r="I7" s="25"/>
      <c r="J7" s="33"/>
      <c r="K7" s="33"/>
      <c r="L7" s="33"/>
      <c r="M7" s="33"/>
      <c r="N7" s="28"/>
      <c r="O7" s="24"/>
      <c r="P7" s="25"/>
    </row>
    <row r="8" spans="2:16" s="21" customFormat="1" ht="5.25" customHeight="1">
      <c r="C8" s="34"/>
      <c r="D8" s="35"/>
      <c r="E8" s="35"/>
      <c r="F8" s="35"/>
      <c r="G8" s="35"/>
      <c r="H8" s="35"/>
      <c r="I8" s="22"/>
      <c r="J8" s="35"/>
      <c r="K8" s="35"/>
      <c r="L8" s="35"/>
      <c r="M8" s="35"/>
      <c r="N8" s="34"/>
    </row>
    <row r="9" spans="2:16" s="21" customFormat="1">
      <c r="C9" s="22">
        <f>Sprints!$C$5</f>
        <v>1</v>
      </c>
      <c r="D9" s="21" t="str">
        <f>"TMA-" &amp; TEXT(ROWS($A$2:A2)-1,"000")</f>
        <v>TMA-000</v>
      </c>
      <c r="E9" s="21" t="s">
        <v>13</v>
      </c>
      <c r="F9" s="21" t="s">
        <v>14</v>
      </c>
      <c r="G9" s="46" t="s">
        <v>15</v>
      </c>
      <c r="H9" s="21" t="s">
        <v>16</v>
      </c>
      <c r="I9" s="23">
        <f>Sprints!$D$5</f>
        <v>45959</v>
      </c>
      <c r="J9" s="21" t="s">
        <v>17</v>
      </c>
      <c r="L9" s="21" t="s">
        <v>18</v>
      </c>
      <c r="M9" s="23">
        <f>IF(C9&lt;&gt;"",VLOOKUP(C9,Sprints!C:G,3,FALSE),"")</f>
        <v>45999</v>
      </c>
      <c r="N9" s="36">
        <v>1</v>
      </c>
    </row>
    <row r="10" spans="2:16" s="21" customFormat="1">
      <c r="C10" s="22">
        <f>Sprints!$C$5</f>
        <v>1</v>
      </c>
      <c r="D10" s="21" t="str">
        <f>"TMA-" &amp; TEXT(ROWS($A$2:A3)-1,"000")</f>
        <v>TMA-001</v>
      </c>
      <c r="E10" s="21" t="s">
        <v>13</v>
      </c>
      <c r="F10" s="21" t="s">
        <v>19</v>
      </c>
      <c r="G10" s="46" t="s">
        <v>15</v>
      </c>
      <c r="H10" s="21" t="s">
        <v>16</v>
      </c>
      <c r="I10" s="23">
        <f>Sprints!$D$5</f>
        <v>45959</v>
      </c>
      <c r="J10" s="21" t="s">
        <v>17</v>
      </c>
      <c r="L10" s="21" t="s">
        <v>18</v>
      </c>
      <c r="M10" s="23">
        <f>IF(C10&lt;&gt;"",VLOOKUP(C10,Sprints!C:G,3,FALSE),"")</f>
        <v>45999</v>
      </c>
      <c r="N10" s="36">
        <v>5</v>
      </c>
    </row>
    <row r="11" spans="2:16" s="21" customFormat="1">
      <c r="C11" s="22">
        <f>Sprints!$C$5</f>
        <v>1</v>
      </c>
      <c r="D11" s="21" t="str">
        <f>"TMA-" &amp; TEXT(ROWS($A$2:A4)-1,"000")</f>
        <v>TMA-002</v>
      </c>
      <c r="E11" s="21" t="s">
        <v>13</v>
      </c>
      <c r="F11" s="21" t="s">
        <v>20</v>
      </c>
      <c r="G11" s="46" t="s">
        <v>15</v>
      </c>
      <c r="H11" s="21" t="s">
        <v>16</v>
      </c>
      <c r="I11" s="23">
        <f>Sprints!$D$5</f>
        <v>45959</v>
      </c>
      <c r="J11" s="21" t="s">
        <v>17</v>
      </c>
      <c r="L11" s="21" t="s">
        <v>18</v>
      </c>
      <c r="M11" s="23">
        <f>IF(C11&lt;&gt;"",VLOOKUP(C11,Sprints!C:G,3,FALSE),"")</f>
        <v>45999</v>
      </c>
      <c r="N11" s="36">
        <v>2</v>
      </c>
    </row>
    <row r="12" spans="2:16" s="21" customFormat="1">
      <c r="C12" s="22">
        <f>Sprints!$C$5</f>
        <v>1</v>
      </c>
      <c r="D12" s="21" t="str">
        <f>"TMA-" &amp; TEXT(ROWS($A$2:A5)-1,"000")</f>
        <v>TMA-003</v>
      </c>
      <c r="E12" s="21" t="s">
        <v>13</v>
      </c>
      <c r="F12" s="21" t="s">
        <v>21</v>
      </c>
      <c r="G12" s="46" t="s">
        <v>15</v>
      </c>
      <c r="H12" s="21" t="s">
        <v>16</v>
      </c>
      <c r="I12" s="23">
        <f>Sprints!$D$5</f>
        <v>45959</v>
      </c>
      <c r="J12" s="21" t="s">
        <v>17</v>
      </c>
      <c r="L12" s="21" t="s">
        <v>18</v>
      </c>
      <c r="M12" s="23">
        <f>IF(C12&lt;&gt;"",VLOOKUP(C12,Sprints!C:G,3,FALSE),"")</f>
        <v>45999</v>
      </c>
      <c r="N12" s="36">
        <v>5</v>
      </c>
    </row>
    <row r="13" spans="2:16" s="21" customFormat="1">
      <c r="C13" s="22">
        <f>Sprints!$C$5</f>
        <v>1</v>
      </c>
      <c r="D13" s="21" t="str">
        <f>"TMA-" &amp; TEXT(ROWS($A$2:A6)-1,"000")</f>
        <v>TMA-004</v>
      </c>
      <c r="E13" s="21" t="s">
        <v>13</v>
      </c>
      <c r="F13" s="21" t="s">
        <v>22</v>
      </c>
      <c r="G13" s="46" t="s">
        <v>15</v>
      </c>
      <c r="H13" s="21" t="s">
        <v>16</v>
      </c>
      <c r="I13" s="23">
        <f>Sprints!$D$5</f>
        <v>45959</v>
      </c>
      <c r="J13" s="21" t="s">
        <v>17</v>
      </c>
      <c r="L13" s="21" t="s">
        <v>18</v>
      </c>
      <c r="M13" s="23">
        <f>IF(C13&lt;&gt;"",VLOOKUP(C13,Sprints!C:G,3,FALSE),"")</f>
        <v>45999</v>
      </c>
      <c r="N13" s="36">
        <v>5</v>
      </c>
    </row>
    <row r="14" spans="2:16" s="21" customFormat="1">
      <c r="C14" s="22">
        <f>Sprints!$C$5</f>
        <v>1</v>
      </c>
      <c r="D14" s="21" t="str">
        <f>"TMA-" &amp; TEXT(ROWS($A$2:A7)-1,"000")</f>
        <v>TMA-005</v>
      </c>
      <c r="E14" s="21" t="s">
        <v>13</v>
      </c>
      <c r="F14" s="21" t="s">
        <v>23</v>
      </c>
      <c r="G14" s="46" t="s">
        <v>15</v>
      </c>
      <c r="H14" s="21" t="s">
        <v>16</v>
      </c>
      <c r="I14" s="23">
        <f>Sprints!$D$5</f>
        <v>45959</v>
      </c>
      <c r="J14" s="21" t="s">
        <v>24</v>
      </c>
      <c r="L14" s="21" t="s">
        <v>18</v>
      </c>
      <c r="M14" s="23">
        <f>IF(C14&lt;&gt;"",VLOOKUP(C14,Sprints!C:G,3,FALSE),"")</f>
        <v>45999</v>
      </c>
      <c r="N14" s="36">
        <v>4</v>
      </c>
    </row>
    <row r="15" spans="2:16" s="21" customFormat="1">
      <c r="C15" s="22">
        <f>Sprints!$C$5</f>
        <v>1</v>
      </c>
      <c r="D15" s="21" t="str">
        <f>"TMA-" &amp; TEXT(ROWS($A$2:A8)-1,"000")</f>
        <v>TMA-006</v>
      </c>
      <c r="E15" s="21" t="s">
        <v>13</v>
      </c>
      <c r="F15" s="21" t="s">
        <v>25</v>
      </c>
      <c r="G15" s="46" t="s">
        <v>15</v>
      </c>
      <c r="H15" s="21" t="s">
        <v>16</v>
      </c>
      <c r="I15" s="23">
        <f>Sprints!$D$5</f>
        <v>45959</v>
      </c>
      <c r="J15" s="21" t="s">
        <v>17</v>
      </c>
      <c r="L15" s="21" t="s">
        <v>18</v>
      </c>
      <c r="M15" s="23">
        <f>IF(C15&lt;&gt;"",VLOOKUP(C15,Sprints!C:G,3,FALSE),"")</f>
        <v>45999</v>
      </c>
      <c r="N15" s="36">
        <v>4</v>
      </c>
    </row>
    <row r="16" spans="2:16" s="21" customFormat="1">
      <c r="C16" s="22">
        <f>Sprints!$C$5</f>
        <v>1</v>
      </c>
      <c r="D16" s="21" t="str">
        <f>"TMA-" &amp; TEXT(ROWS($A$2:A9)-1,"000")</f>
        <v>TMA-007</v>
      </c>
      <c r="E16" s="21" t="s">
        <v>13</v>
      </c>
      <c r="F16" s="21" t="s">
        <v>26</v>
      </c>
      <c r="G16" s="46" t="s">
        <v>15</v>
      </c>
      <c r="H16" s="21" t="s">
        <v>27</v>
      </c>
      <c r="I16" s="23">
        <f>Sprints!$D$5</f>
        <v>45959</v>
      </c>
      <c r="J16" s="21" t="s">
        <v>17</v>
      </c>
      <c r="L16" s="21" t="s">
        <v>18</v>
      </c>
      <c r="M16" s="23">
        <f>IF(C16&lt;&gt;"",VLOOKUP(C16,Sprints!C:G,3,FALSE),"")</f>
        <v>45999</v>
      </c>
      <c r="N16" s="36">
        <v>8</v>
      </c>
    </row>
    <row r="17" spans="2:16" s="21" customFormat="1">
      <c r="C17" s="22">
        <f>Sprints!$C$5</f>
        <v>1</v>
      </c>
      <c r="D17" s="21" t="str">
        <f>"TMA-" &amp; TEXT(ROWS($A$2:A10)-1,"000")</f>
        <v>TMA-008</v>
      </c>
      <c r="E17" s="21" t="s">
        <v>13</v>
      </c>
      <c r="F17" s="21" t="s">
        <v>28</v>
      </c>
      <c r="G17" s="46" t="s">
        <v>15</v>
      </c>
      <c r="H17" s="21" t="s">
        <v>16</v>
      </c>
      <c r="I17" s="23">
        <f>Sprints!$D$5</f>
        <v>45959</v>
      </c>
      <c r="J17" s="21" t="s">
        <v>17</v>
      </c>
      <c r="L17" s="21" t="s">
        <v>18</v>
      </c>
      <c r="M17" s="23">
        <f>IF(C17&lt;&gt;"",VLOOKUP(C17,Sprints!C:G,3,FALSE),"")</f>
        <v>45999</v>
      </c>
      <c r="N17" s="36">
        <v>8</v>
      </c>
    </row>
    <row r="18" spans="2:16" s="21" customFormat="1">
      <c r="C18" s="22">
        <f>Sprints!$C$5</f>
        <v>1</v>
      </c>
      <c r="D18" s="21" t="str">
        <f>"TMA-" &amp; TEXT(ROWS($A$2:A11)-1,"000")</f>
        <v>TMA-009</v>
      </c>
      <c r="E18" s="21" t="s">
        <v>13</v>
      </c>
      <c r="F18" s="21" t="s">
        <v>29</v>
      </c>
      <c r="G18" s="46" t="s">
        <v>15</v>
      </c>
      <c r="H18" s="21" t="s">
        <v>16</v>
      </c>
      <c r="I18" s="23">
        <f>Sprints!$D$5</f>
        <v>45959</v>
      </c>
      <c r="J18" s="21" t="s">
        <v>17</v>
      </c>
      <c r="L18" s="21" t="s">
        <v>18</v>
      </c>
      <c r="M18" s="23">
        <f>IF(C18&lt;&gt;"",VLOOKUP(C18,Sprints!C:G,3,FALSE),"")</f>
        <v>45999</v>
      </c>
      <c r="N18" s="36">
        <v>8</v>
      </c>
    </row>
    <row r="19" spans="2:16" s="21" customFormat="1">
      <c r="C19" s="22">
        <f>Sprints!$C$5</f>
        <v>1</v>
      </c>
      <c r="D19" s="21" t="str">
        <f>"TMA-" &amp; TEXT(ROWS($A$2:A12)-1,"000")</f>
        <v>TMA-010</v>
      </c>
      <c r="E19" s="21" t="s">
        <v>13</v>
      </c>
      <c r="F19" s="21" t="s">
        <v>30</v>
      </c>
      <c r="G19" s="46" t="s">
        <v>15</v>
      </c>
      <c r="H19" s="21" t="s">
        <v>27</v>
      </c>
      <c r="I19" s="23">
        <f>Sprints!$D$5</f>
        <v>45959</v>
      </c>
      <c r="J19" s="21" t="s">
        <v>17</v>
      </c>
      <c r="L19" s="21" t="s">
        <v>18</v>
      </c>
      <c r="M19" s="23">
        <f>IF(C19&lt;&gt;"",VLOOKUP(C19,Sprints!C:G,3,FALSE),"")</f>
        <v>45999</v>
      </c>
      <c r="N19" s="36">
        <v>8</v>
      </c>
    </row>
    <row r="20" spans="2:16" s="21" customFormat="1">
      <c r="C20" s="22">
        <f>Sprints!$C$5</f>
        <v>1</v>
      </c>
      <c r="D20" s="21" t="str">
        <f>"TMA-" &amp; TEXT(ROWS($A$2:A13)-1,"000")</f>
        <v>TMA-011</v>
      </c>
      <c r="E20" s="21" t="s">
        <v>13</v>
      </c>
      <c r="F20" s="21" t="s">
        <v>31</v>
      </c>
      <c r="G20" s="46" t="s">
        <v>15</v>
      </c>
      <c r="H20" s="21" t="s">
        <v>16</v>
      </c>
      <c r="I20" s="23">
        <f>Sprints!$D$5</f>
        <v>45959</v>
      </c>
      <c r="J20" s="21" t="s">
        <v>17</v>
      </c>
      <c r="L20" s="21" t="s">
        <v>18</v>
      </c>
      <c r="M20" s="23">
        <f>IF(C20&lt;&gt;"",VLOOKUP(C20,Sprints!C:G,3,FALSE),"")</f>
        <v>45999</v>
      </c>
      <c r="N20" s="36">
        <v>8</v>
      </c>
    </row>
    <row r="21" spans="2:16" s="21" customFormat="1">
      <c r="C21" s="22">
        <f>Sprints!$C$5</f>
        <v>1</v>
      </c>
      <c r="D21" s="21" t="str">
        <f>"TMA-" &amp; TEXT(ROWS($A$2:A14)-1,"000")</f>
        <v>TMA-012</v>
      </c>
      <c r="E21" s="21" t="s">
        <v>13</v>
      </c>
      <c r="F21" s="21" t="s">
        <v>32</v>
      </c>
      <c r="G21" s="46" t="s">
        <v>15</v>
      </c>
      <c r="H21" s="21" t="s">
        <v>27</v>
      </c>
      <c r="I21" s="23">
        <f>Sprints!$D$5</f>
        <v>45959</v>
      </c>
      <c r="J21" s="21" t="s">
        <v>17</v>
      </c>
      <c r="L21" s="21" t="s">
        <v>18</v>
      </c>
      <c r="M21" s="23">
        <f>IF(C21&lt;&gt;"",VLOOKUP(C21,Sprints!C:G,3,FALSE),"")</f>
        <v>45999</v>
      </c>
      <c r="N21" s="36">
        <v>0.5</v>
      </c>
    </row>
    <row r="22" spans="2:16" s="21" customFormat="1">
      <c r="C22" s="22">
        <f>Sprints!$C$5</f>
        <v>1</v>
      </c>
      <c r="D22" s="21" t="str">
        <f>"TMA-" &amp; TEXT(ROWS($A$2:A15)-1,"000")</f>
        <v>TMA-013</v>
      </c>
      <c r="E22" s="21" t="s">
        <v>13</v>
      </c>
      <c r="F22" s="21" t="s">
        <v>33</v>
      </c>
      <c r="G22" s="46" t="s">
        <v>15</v>
      </c>
      <c r="H22" s="21" t="s">
        <v>27</v>
      </c>
      <c r="I22" s="23">
        <f>Sprints!$D$5</f>
        <v>45959</v>
      </c>
      <c r="J22" s="21" t="s">
        <v>17</v>
      </c>
      <c r="L22" s="21" t="s">
        <v>18</v>
      </c>
      <c r="M22" s="23">
        <f>IF(C22&lt;&gt;"",VLOOKUP(C22,Sprints!C:G,3,FALSE),"")</f>
        <v>45999</v>
      </c>
      <c r="N22" s="36">
        <v>2</v>
      </c>
    </row>
    <row r="23" spans="2:16" s="21" customFormat="1">
      <c r="C23" s="22">
        <f>Sprints!$C$5</f>
        <v>1</v>
      </c>
      <c r="D23" s="21" t="str">
        <f>"TMA-" &amp; TEXT(ROWS($A$2:A16)-1,"000")</f>
        <v>TMA-014</v>
      </c>
      <c r="E23" s="21" t="s">
        <v>13</v>
      </c>
      <c r="F23" s="21" t="s">
        <v>34</v>
      </c>
      <c r="G23" s="46" t="s">
        <v>15</v>
      </c>
      <c r="H23" s="21" t="s">
        <v>35</v>
      </c>
      <c r="I23" s="23">
        <f>Sprints!$D$5</f>
        <v>45959</v>
      </c>
      <c r="J23" s="21" t="s">
        <v>17</v>
      </c>
      <c r="L23" s="21" t="s">
        <v>18</v>
      </c>
      <c r="M23" s="23">
        <f>IF(C23&lt;&gt;"",VLOOKUP(C23,Sprints!C:G,3,FALSE),"")</f>
        <v>45999</v>
      </c>
      <c r="N23" s="36">
        <v>2</v>
      </c>
    </row>
    <row r="24" spans="2:16" s="21" customFormat="1">
      <c r="C24" s="22">
        <f>Sprints!$C$5</f>
        <v>1</v>
      </c>
      <c r="D24" s="21" t="str">
        <f>"TMA-" &amp; TEXT(ROWS($A$2:A17)-1,"000")</f>
        <v>TMA-015</v>
      </c>
      <c r="E24" s="21" t="s">
        <v>13</v>
      </c>
      <c r="F24" s="21" t="s">
        <v>36</v>
      </c>
      <c r="G24" s="46" t="s">
        <v>15</v>
      </c>
      <c r="H24" s="21" t="s">
        <v>35</v>
      </c>
      <c r="I24" s="23">
        <f>Sprints!$D$5</f>
        <v>45959</v>
      </c>
      <c r="J24" s="21" t="s">
        <v>17</v>
      </c>
      <c r="L24" s="21" t="s">
        <v>18</v>
      </c>
      <c r="M24" s="23">
        <f>IF(C24&lt;&gt;"",VLOOKUP(C24,Sprints!C:G,3,FALSE),"")</f>
        <v>45999</v>
      </c>
      <c r="N24" s="36">
        <v>1</v>
      </c>
    </row>
    <row r="25" spans="2:16" s="21" customFormat="1">
      <c r="C25" s="22">
        <f>Sprints!$C$5</f>
        <v>1</v>
      </c>
      <c r="D25" s="21" t="str">
        <f>"TMA-" &amp; TEXT(ROWS($A$2:A18)-1,"000")</f>
        <v>TMA-016</v>
      </c>
      <c r="E25" s="21" t="s">
        <v>13</v>
      </c>
      <c r="F25" s="21" t="s">
        <v>37</v>
      </c>
      <c r="G25" s="46" t="s">
        <v>15</v>
      </c>
      <c r="H25" s="21" t="s">
        <v>27</v>
      </c>
      <c r="I25" s="23">
        <f>Sprints!$D$5</f>
        <v>45959</v>
      </c>
      <c r="J25" s="21" t="s">
        <v>17</v>
      </c>
      <c r="L25" s="21" t="s">
        <v>18</v>
      </c>
      <c r="M25" s="23">
        <f>IF(C25&lt;&gt;"",VLOOKUP(C25,Sprints!C:G,3,FALSE),"")</f>
        <v>45999</v>
      </c>
      <c r="N25" s="36">
        <v>2</v>
      </c>
    </row>
    <row r="26" spans="2:16" s="21" customFormat="1">
      <c r="C26" s="22">
        <f>Sprints!$C$5</f>
        <v>1</v>
      </c>
      <c r="D26" s="21" t="str">
        <f>"TMA-" &amp; TEXT(ROWS($A$2:A19)-1,"000")</f>
        <v>TMA-017</v>
      </c>
      <c r="E26" s="21" t="s">
        <v>13</v>
      </c>
      <c r="F26" s="21" t="s">
        <v>38</v>
      </c>
      <c r="G26" s="46" t="s">
        <v>15</v>
      </c>
      <c r="H26" s="21" t="s">
        <v>27</v>
      </c>
      <c r="I26" s="23">
        <f>Sprints!$D$5</f>
        <v>45959</v>
      </c>
      <c r="J26" s="21" t="s">
        <v>17</v>
      </c>
      <c r="L26" s="21" t="s">
        <v>18</v>
      </c>
      <c r="M26" s="23">
        <f>IF(C26&lt;&gt;"",VLOOKUP(C26,Sprints!C:G,3,FALSE),"")</f>
        <v>45999</v>
      </c>
      <c r="N26" s="36">
        <v>3</v>
      </c>
    </row>
    <row r="27" spans="2:16" s="21" customFormat="1">
      <c r="C27" s="22">
        <f>Sprints!$C$5</f>
        <v>1</v>
      </c>
      <c r="D27" s="21" t="str">
        <f>"TMA-" &amp; TEXT(ROWS($A$2:A20)-1,"000")</f>
        <v>TMA-018</v>
      </c>
      <c r="E27" s="21" t="s">
        <v>39</v>
      </c>
      <c r="F27" s="21" t="s">
        <v>40</v>
      </c>
      <c r="G27" s="46" t="s">
        <v>15</v>
      </c>
      <c r="H27" s="21" t="s">
        <v>16</v>
      </c>
      <c r="I27" s="23">
        <f>Sprints!$D$5</f>
        <v>45959</v>
      </c>
      <c r="J27" s="21" t="s">
        <v>17</v>
      </c>
      <c r="L27" s="21" t="s">
        <v>18</v>
      </c>
      <c r="M27" s="23">
        <f>IF(C27&lt;&gt;"",VLOOKUP(C27,Sprints!C:G,3,FALSE),"")</f>
        <v>45999</v>
      </c>
      <c r="N27" s="37">
        <v>1.5</v>
      </c>
    </row>
    <row r="28" spans="2:16" s="21" customFormat="1">
      <c r="C28" s="22">
        <f>Sprints!$C$5</f>
        <v>1</v>
      </c>
      <c r="D28" s="21" t="str">
        <f>"TMA-" &amp; TEXT(ROWS($A$2:A21)-1,"000")</f>
        <v>TMA-019</v>
      </c>
      <c r="E28" s="21" t="s">
        <v>39</v>
      </c>
      <c r="F28" s="21" t="s">
        <v>41</v>
      </c>
      <c r="G28" s="46" t="s">
        <v>15</v>
      </c>
      <c r="H28" s="21" t="s">
        <v>16</v>
      </c>
      <c r="I28" s="23">
        <f>Sprints!$D$5</f>
        <v>45959</v>
      </c>
      <c r="J28" s="21" t="s">
        <v>17</v>
      </c>
      <c r="L28" s="21" t="s">
        <v>18</v>
      </c>
      <c r="M28" s="23">
        <f>IF(C28&lt;&gt;"",VLOOKUP(C28,Sprints!C:G,3,FALSE),"")</f>
        <v>45999</v>
      </c>
      <c r="N28" s="37">
        <v>1</v>
      </c>
    </row>
    <row r="29" spans="2:16" s="21" customFormat="1">
      <c r="C29" s="22">
        <f>Sprints!$C$5</f>
        <v>1</v>
      </c>
      <c r="D29" s="21" t="str">
        <f>"TMA-" &amp; TEXT(ROWS($A$2:A22)-1,"000")</f>
        <v>TMA-020</v>
      </c>
      <c r="E29" s="21" t="s">
        <v>39</v>
      </c>
      <c r="F29" s="21" t="s">
        <v>42</v>
      </c>
      <c r="G29" s="46" t="s">
        <v>15</v>
      </c>
      <c r="H29" s="21" t="s">
        <v>27</v>
      </c>
      <c r="I29" s="23">
        <f>Sprints!$D$5</f>
        <v>45959</v>
      </c>
      <c r="J29" s="21" t="s">
        <v>17</v>
      </c>
      <c r="L29" s="21" t="s">
        <v>18</v>
      </c>
      <c r="M29" s="23">
        <f>IF(C29&lt;&gt;"",VLOOKUP(C29,Sprints!C:G,3,FALSE),"")</f>
        <v>45999</v>
      </c>
      <c r="N29" s="37">
        <v>1.5</v>
      </c>
    </row>
    <row r="30" spans="2:16" s="21" customFormat="1">
      <c r="B30" s="38"/>
      <c r="C30" s="39">
        <f>Sprints!$C$5</f>
        <v>1</v>
      </c>
      <c r="D30" s="38" t="str">
        <f>"TMA-" &amp; TEXT(ROWS($A$2:A23)-1,"000")</f>
        <v>TMA-021</v>
      </c>
      <c r="E30" s="38" t="s">
        <v>39</v>
      </c>
      <c r="F30" s="38" t="s">
        <v>43</v>
      </c>
      <c r="G30" s="47" t="s">
        <v>15</v>
      </c>
      <c r="H30" s="38" t="s">
        <v>27</v>
      </c>
      <c r="I30" s="40">
        <f>Sprints!$D$5</f>
        <v>45959</v>
      </c>
      <c r="J30" s="38" t="s">
        <v>17</v>
      </c>
      <c r="K30" s="38"/>
      <c r="L30" s="38" t="s">
        <v>18</v>
      </c>
      <c r="M30" s="40">
        <f>IF(C30&lt;&gt;"",VLOOKUP(C30,Sprints!C:G,3,FALSE),"")</f>
        <v>45999</v>
      </c>
      <c r="N30" s="41">
        <v>0.5</v>
      </c>
      <c r="O30" s="38"/>
      <c r="P30" s="38"/>
    </row>
    <row r="31" spans="2:16" s="21" customFormat="1">
      <c r="B31" s="52"/>
      <c r="C31" s="60">
        <v>1.5</v>
      </c>
      <c r="D31" s="52" t="str">
        <f>"TMA-" &amp; TEXT(ROWS($A$2:A58)-1,"000")</f>
        <v>TMA-056</v>
      </c>
      <c r="E31" s="52" t="s">
        <v>13</v>
      </c>
      <c r="F31" s="52" t="s">
        <v>44</v>
      </c>
      <c r="G31" s="52"/>
      <c r="H31" s="52" t="s">
        <v>16</v>
      </c>
      <c r="I31" s="54">
        <v>45665</v>
      </c>
      <c r="J31" s="52"/>
      <c r="K31" s="52"/>
      <c r="L31" s="52" t="s">
        <v>18</v>
      </c>
      <c r="M31" s="54"/>
      <c r="N31" s="53"/>
      <c r="O31" s="52"/>
      <c r="P31" s="52"/>
    </row>
    <row r="32" spans="2:16" s="21" customFormat="1">
      <c r="B32" s="52"/>
      <c r="C32" s="60">
        <v>1.5</v>
      </c>
      <c r="D32" s="52" t="str">
        <f>"TMA-" &amp; TEXT(ROWS($A$2:A59)-1,"000")</f>
        <v>TMA-057</v>
      </c>
      <c r="E32" s="52" t="s">
        <v>39</v>
      </c>
      <c r="F32" s="52" t="s">
        <v>45</v>
      </c>
      <c r="G32" s="52"/>
      <c r="H32" s="52" t="s">
        <v>16</v>
      </c>
      <c r="I32" s="54">
        <v>45665</v>
      </c>
      <c r="J32" s="52" t="s">
        <v>17</v>
      </c>
      <c r="K32" s="52"/>
      <c r="L32" s="52" t="s">
        <v>18</v>
      </c>
      <c r="M32" s="54"/>
      <c r="N32" s="53"/>
      <c r="O32" s="52"/>
      <c r="P32" s="52"/>
    </row>
    <row r="33" spans="2:16" s="21" customFormat="1">
      <c r="B33" s="52"/>
      <c r="C33" s="60">
        <v>1.5</v>
      </c>
      <c r="D33" s="52" t="str">
        <f>"TMA-" &amp; TEXT(ROWS($A$2:A60)-1,"000")</f>
        <v>TMA-058</v>
      </c>
      <c r="E33" s="52" t="s">
        <v>13</v>
      </c>
      <c r="F33" s="55" t="s">
        <v>46</v>
      </c>
      <c r="G33" s="52"/>
      <c r="H33" s="52" t="s">
        <v>16</v>
      </c>
      <c r="I33" s="54">
        <v>45665</v>
      </c>
      <c r="J33" s="52" t="s">
        <v>17</v>
      </c>
      <c r="K33" s="52"/>
      <c r="L33" s="52" t="s">
        <v>18</v>
      </c>
      <c r="M33" s="54"/>
      <c r="N33" s="53"/>
      <c r="O33" s="52"/>
      <c r="P33" s="52"/>
    </row>
    <row r="34" spans="2:16" s="21" customFormat="1">
      <c r="B34" s="52"/>
      <c r="C34" s="60">
        <v>1.5</v>
      </c>
      <c r="D34" s="52" t="str">
        <f>"TMA-" &amp; TEXT(ROWS($A$2:A61)-1,"000")</f>
        <v>TMA-059</v>
      </c>
      <c r="E34" s="52" t="s">
        <v>13</v>
      </c>
      <c r="F34" s="52" t="s">
        <v>47</v>
      </c>
      <c r="G34" s="52"/>
      <c r="H34" s="52" t="s">
        <v>27</v>
      </c>
      <c r="I34" s="54">
        <v>45665</v>
      </c>
      <c r="J34" s="52" t="s">
        <v>17</v>
      </c>
      <c r="K34" s="52"/>
      <c r="L34" s="52" t="s">
        <v>18</v>
      </c>
      <c r="M34" s="54"/>
      <c r="N34" s="53"/>
      <c r="O34" s="52"/>
      <c r="P34" s="52"/>
    </row>
    <row r="35" spans="2:16" s="21" customFormat="1">
      <c r="B35" s="52"/>
      <c r="C35" s="60">
        <v>1.5</v>
      </c>
      <c r="D35" s="52" t="str">
        <f>"TMA-" &amp; TEXT(ROWS($A$2:A62)-1,"000")</f>
        <v>TMA-060</v>
      </c>
      <c r="E35" s="52" t="s">
        <v>39</v>
      </c>
      <c r="F35" s="52" t="s">
        <v>48</v>
      </c>
      <c r="G35" s="52"/>
      <c r="H35" s="52" t="s">
        <v>27</v>
      </c>
      <c r="I35" s="54">
        <v>45666</v>
      </c>
      <c r="J35" s="52"/>
      <c r="K35" s="52"/>
      <c r="L35" s="52" t="s">
        <v>18</v>
      </c>
      <c r="M35" s="54"/>
      <c r="N35" s="53"/>
      <c r="O35" s="52"/>
      <c r="P35" s="52"/>
    </row>
    <row r="36" spans="2:16" s="21" customFormat="1">
      <c r="B36" s="52"/>
      <c r="C36" s="60">
        <v>1.5</v>
      </c>
      <c r="D36" s="52" t="str">
        <f>"TMA-" &amp; TEXT(ROWS($A$2:A64)-1,"000")</f>
        <v>TMA-062</v>
      </c>
      <c r="E36" s="52" t="s">
        <v>39</v>
      </c>
      <c r="F36" s="52" t="s">
        <v>49</v>
      </c>
      <c r="G36" s="52"/>
      <c r="H36" s="52" t="s">
        <v>16</v>
      </c>
      <c r="I36" s="54">
        <v>45666</v>
      </c>
      <c r="J36" s="52"/>
      <c r="K36" s="52"/>
      <c r="L36" s="52" t="s">
        <v>18</v>
      </c>
      <c r="M36" s="54"/>
      <c r="N36" s="53"/>
      <c r="O36" s="52"/>
      <c r="P36" s="52"/>
    </row>
    <row r="37" spans="2:16" s="21" customFormat="1">
      <c r="B37" s="56"/>
      <c r="C37" s="61">
        <v>1.5</v>
      </c>
      <c r="D37" s="56" t="str">
        <f>"TMA-" &amp; TEXT(ROWS($A$2:A31)-1,"000")</f>
        <v>TMA-029</v>
      </c>
      <c r="E37" s="56" t="s">
        <v>39</v>
      </c>
      <c r="F37" s="56" t="s">
        <v>50</v>
      </c>
      <c r="G37" s="56"/>
      <c r="H37" s="56" t="s">
        <v>16</v>
      </c>
      <c r="I37" s="58">
        <v>45666</v>
      </c>
      <c r="J37" s="56"/>
      <c r="K37" s="56"/>
      <c r="L37" s="56" t="s">
        <v>18</v>
      </c>
      <c r="M37" s="58"/>
      <c r="N37" s="57"/>
      <c r="O37" s="56"/>
      <c r="P37" s="56"/>
    </row>
    <row r="38" spans="2:16" s="21" customFormat="1">
      <c r="B38" s="20"/>
      <c r="C38" s="51">
        <f>Sprints!$C$6</f>
        <v>2</v>
      </c>
      <c r="D38" s="51" t="str">
        <f>"TMA-" &amp; TEXT(ROWS($A$2:A65)-1,"000")</f>
        <v>TMA-063</v>
      </c>
      <c r="E38" s="20" t="s">
        <v>13</v>
      </c>
      <c r="F38" s="20" t="s">
        <v>51</v>
      </c>
      <c r="G38" s="48"/>
      <c r="H38" s="20" t="s">
        <v>16</v>
      </c>
      <c r="I38" s="43">
        <v>46058</v>
      </c>
      <c r="J38" s="20"/>
      <c r="K38" s="20"/>
      <c r="L38" s="20"/>
      <c r="M38" s="43"/>
      <c r="N38" s="42"/>
      <c r="O38" s="20"/>
      <c r="P38" s="20"/>
    </row>
    <row r="39" spans="2:16" s="21" customFormat="1">
      <c r="B39" s="20"/>
      <c r="C39" s="51">
        <f>Sprints!$C$6</f>
        <v>2</v>
      </c>
      <c r="D39" s="20" t="str">
        <f>"TMA-" &amp; TEXT(ROWS($A$2:A24)-1,"000")</f>
        <v>TMA-022</v>
      </c>
      <c r="E39" s="20" t="s">
        <v>39</v>
      </c>
      <c r="F39" s="20" t="s">
        <v>52</v>
      </c>
      <c r="G39" s="48" t="s">
        <v>53</v>
      </c>
      <c r="H39" s="20" t="s">
        <v>27</v>
      </c>
      <c r="I39" s="43">
        <v>45972</v>
      </c>
      <c r="J39" s="20"/>
      <c r="K39" s="20"/>
      <c r="L39" s="20"/>
      <c r="M39" s="43"/>
      <c r="N39" s="42"/>
      <c r="O39" s="20"/>
      <c r="P39" s="20"/>
    </row>
    <row r="40" spans="2:16" s="21" customFormat="1">
      <c r="B40" s="20"/>
      <c r="C40" s="51">
        <f>Sprints!$C$6</f>
        <v>2</v>
      </c>
      <c r="D40" s="20" t="str">
        <f>"TMA-" &amp; TEXT(ROWS($A$2:A25)-1,"000")</f>
        <v>TMA-023</v>
      </c>
      <c r="E40" s="20" t="s">
        <v>13</v>
      </c>
      <c r="F40" s="20" t="s">
        <v>54</v>
      </c>
      <c r="G40" s="20"/>
      <c r="H40" s="20" t="s">
        <v>35</v>
      </c>
      <c r="I40" s="43">
        <v>45974</v>
      </c>
      <c r="J40" s="20"/>
      <c r="K40" s="20" t="s">
        <v>55</v>
      </c>
      <c r="L40" s="20"/>
      <c r="M40" s="43"/>
      <c r="N40" s="42"/>
      <c r="O40" s="20"/>
      <c r="P40" s="20"/>
    </row>
    <row r="41" spans="2:16" s="21" customFormat="1">
      <c r="B41" s="20"/>
      <c r="C41" s="51">
        <f>Sprints!$C$6</f>
        <v>2</v>
      </c>
      <c r="D41" s="20" t="str">
        <f>"TMA-" &amp; TEXT(ROWS($A$2:A26)-1,"000")</f>
        <v>TMA-024</v>
      </c>
      <c r="E41" s="20" t="s">
        <v>13</v>
      </c>
      <c r="F41" s="20" t="s">
        <v>56</v>
      </c>
      <c r="G41" s="20"/>
      <c r="H41" s="20" t="s">
        <v>35</v>
      </c>
      <c r="I41" s="43">
        <v>45974</v>
      </c>
      <c r="J41" s="20"/>
      <c r="K41" s="20"/>
      <c r="L41" s="20"/>
      <c r="M41" s="43"/>
      <c r="N41" s="42"/>
      <c r="O41" s="20"/>
      <c r="P41" s="20"/>
    </row>
    <row r="42" spans="2:16" s="21" customFormat="1">
      <c r="B42" s="20"/>
      <c r="C42" s="51">
        <f>Sprints!$C$6</f>
        <v>2</v>
      </c>
      <c r="D42" s="20" t="str">
        <f>"TMA-" &amp; TEXT(ROWS($A$2:A27)-1,"000")</f>
        <v>TMA-025</v>
      </c>
      <c r="E42" s="20" t="s">
        <v>13</v>
      </c>
      <c r="F42" s="44" t="s">
        <v>57</v>
      </c>
      <c r="G42" s="49" t="s">
        <v>58</v>
      </c>
      <c r="H42" s="20" t="s">
        <v>27</v>
      </c>
      <c r="I42" s="43">
        <v>45983</v>
      </c>
      <c r="J42" s="20"/>
      <c r="K42" s="20"/>
      <c r="L42" s="20"/>
      <c r="M42" s="43"/>
      <c r="N42" s="42"/>
      <c r="O42" s="20"/>
      <c r="P42" s="20"/>
    </row>
    <row r="43" spans="2:16" s="21" customFormat="1">
      <c r="B43" s="20"/>
      <c r="C43" s="51">
        <f>Sprints!$C$6</f>
        <v>2</v>
      </c>
      <c r="D43" s="20" t="str">
        <f>"TMA-" &amp; TEXT(ROWS($A$2:A28)-1,"000")</f>
        <v>TMA-026</v>
      </c>
      <c r="E43" s="20" t="s">
        <v>13</v>
      </c>
      <c r="F43" s="20" t="s">
        <v>59</v>
      </c>
      <c r="G43" s="48" t="s">
        <v>60</v>
      </c>
      <c r="H43" s="20" t="s">
        <v>16</v>
      </c>
      <c r="I43" s="43">
        <v>45992</v>
      </c>
      <c r="J43" s="20"/>
      <c r="K43" s="20"/>
      <c r="L43" s="20"/>
      <c r="M43" s="43"/>
      <c r="N43" s="42"/>
      <c r="O43" s="20"/>
      <c r="P43" s="20"/>
    </row>
    <row r="44" spans="2:16" s="21" customFormat="1">
      <c r="B44" s="20"/>
      <c r="C44" s="51">
        <f>Sprints!$C$6</f>
        <v>2</v>
      </c>
      <c r="D44" s="20" t="str">
        <f>"TMA-" &amp; TEXT(ROWS($A$2:A29)-1,"000")</f>
        <v>TMA-027</v>
      </c>
      <c r="E44" s="20" t="s">
        <v>13</v>
      </c>
      <c r="F44" s="20" t="s">
        <v>61</v>
      </c>
      <c r="G44" s="20"/>
      <c r="H44" s="20" t="s">
        <v>27</v>
      </c>
      <c r="I44" s="43">
        <v>45993</v>
      </c>
      <c r="J44" s="20"/>
      <c r="K44" s="20"/>
      <c r="L44" s="20"/>
      <c r="M44" s="43"/>
      <c r="N44" s="42"/>
      <c r="O44" s="20"/>
      <c r="P44" s="20"/>
    </row>
    <row r="45" spans="2:16" s="21" customFormat="1">
      <c r="B45" s="20"/>
      <c r="C45" s="51">
        <f>Sprints!$C$6</f>
        <v>2</v>
      </c>
      <c r="D45" s="20" t="str">
        <f>"TMA-" &amp; TEXT(ROWS($A$2:A30)-1,"000")</f>
        <v>TMA-028</v>
      </c>
      <c r="E45" s="20" t="s">
        <v>13</v>
      </c>
      <c r="F45" s="20" t="s">
        <v>62</v>
      </c>
      <c r="G45" s="20"/>
      <c r="H45" s="20" t="s">
        <v>35</v>
      </c>
      <c r="I45" s="43">
        <v>45994</v>
      </c>
      <c r="J45" s="20"/>
      <c r="K45" s="20"/>
      <c r="L45" s="20"/>
      <c r="M45" s="43"/>
      <c r="N45" s="42"/>
      <c r="O45" s="20"/>
      <c r="P45" s="20"/>
    </row>
    <row r="46" spans="2:16" s="21" customFormat="1">
      <c r="B46" s="20"/>
      <c r="C46" s="51">
        <f>Sprints!$C$6</f>
        <v>2</v>
      </c>
      <c r="D46" s="20" t="str">
        <f>"TMA-" &amp; TEXT(ROWS($A$2:A39)-1,"000")</f>
        <v>TMA-037</v>
      </c>
      <c r="E46" s="20" t="s">
        <v>13</v>
      </c>
      <c r="F46" s="20" t="s">
        <v>63</v>
      </c>
      <c r="G46" s="20"/>
      <c r="H46" s="20" t="s">
        <v>16</v>
      </c>
      <c r="I46" s="43">
        <v>45995</v>
      </c>
      <c r="J46" s="20"/>
      <c r="K46" s="20"/>
      <c r="L46" s="20"/>
      <c r="M46" s="43"/>
      <c r="N46" s="42"/>
      <c r="O46" s="20"/>
      <c r="P46" s="20"/>
    </row>
    <row r="47" spans="2:16" s="21" customFormat="1">
      <c r="B47" s="20"/>
      <c r="C47" s="51">
        <f>Sprints!$C$6</f>
        <v>2</v>
      </c>
      <c r="D47" s="20" t="str">
        <f>"TMA-" &amp; TEXT(ROWS($A$2:A40)-1,"000")</f>
        <v>TMA-038</v>
      </c>
      <c r="E47" s="20" t="s">
        <v>13</v>
      </c>
      <c r="F47" s="20" t="s">
        <v>64</v>
      </c>
      <c r="G47" s="20"/>
      <c r="H47" s="20" t="s">
        <v>35</v>
      </c>
      <c r="I47" s="43">
        <v>45995</v>
      </c>
      <c r="J47" s="20"/>
      <c r="K47" s="20"/>
      <c r="L47" s="20"/>
      <c r="M47" s="43"/>
      <c r="N47" s="42"/>
      <c r="O47" s="20"/>
      <c r="P47" s="20"/>
    </row>
    <row r="48" spans="2:16" s="21" customFormat="1">
      <c r="B48" s="20"/>
      <c r="C48" s="51">
        <f>Sprints!$C$6</f>
        <v>2</v>
      </c>
      <c r="D48" s="20" t="str">
        <f>"TMA-" &amp; TEXT(ROWS($A$2:A41)-1,"000")</f>
        <v>TMA-039</v>
      </c>
      <c r="E48" s="20" t="s">
        <v>13</v>
      </c>
      <c r="F48" s="20" t="s">
        <v>65</v>
      </c>
      <c r="G48" s="20"/>
      <c r="H48" s="20" t="s">
        <v>35</v>
      </c>
      <c r="I48" s="43">
        <v>46000</v>
      </c>
      <c r="J48" s="20"/>
      <c r="K48" s="20"/>
      <c r="L48" s="20"/>
      <c r="M48" s="43"/>
      <c r="N48" s="42"/>
      <c r="O48" s="20"/>
      <c r="P48" s="20"/>
    </row>
    <row r="49" spans="2:16" s="21" customFormat="1">
      <c r="B49" s="20"/>
      <c r="C49" s="51">
        <f>Sprints!$C$6</f>
        <v>2</v>
      </c>
      <c r="D49" s="20" t="str">
        <f>"TMA-" &amp; TEXT(ROWS($A$2:A42)-1,"000")</f>
        <v>TMA-040</v>
      </c>
      <c r="E49" s="20" t="s">
        <v>13</v>
      </c>
      <c r="F49" s="20" t="s">
        <v>66</v>
      </c>
      <c r="G49" s="20"/>
      <c r="H49" s="20" t="s">
        <v>27</v>
      </c>
      <c r="I49" s="43">
        <v>46000</v>
      </c>
      <c r="J49" s="20"/>
      <c r="K49" s="20"/>
      <c r="L49" s="20"/>
      <c r="M49" s="43"/>
      <c r="N49" s="42"/>
      <c r="O49" s="20"/>
      <c r="P49" s="20"/>
    </row>
    <row r="50" spans="2:16" s="21" customFormat="1">
      <c r="B50" s="20"/>
      <c r="C50" s="51">
        <f>Sprints!$C$6</f>
        <v>2</v>
      </c>
      <c r="D50" s="20" t="str">
        <f>"TMA-" &amp; TEXT(ROWS($A$2:A43)-1,"000")</f>
        <v>TMA-041</v>
      </c>
      <c r="E50" s="20" t="s">
        <v>13</v>
      </c>
      <c r="F50" s="20" t="s">
        <v>67</v>
      </c>
      <c r="G50" s="20"/>
      <c r="H50" s="20" t="s">
        <v>27</v>
      </c>
      <c r="I50" s="43">
        <v>46000</v>
      </c>
      <c r="J50" s="20"/>
      <c r="K50" s="20"/>
      <c r="L50" s="20"/>
      <c r="M50" s="43"/>
      <c r="N50" s="42"/>
      <c r="O50" s="20"/>
      <c r="P50" s="20"/>
    </row>
    <row r="51" spans="2:16" s="21" customFormat="1">
      <c r="B51" s="20"/>
      <c r="C51" s="51">
        <f>Sprints!$C$6</f>
        <v>2</v>
      </c>
      <c r="D51" s="20" t="str">
        <f>"TMA-" &amp; TEXT(ROWS($A$2:A44)-1,"000")</f>
        <v>TMA-042</v>
      </c>
      <c r="E51" s="20" t="s">
        <v>13</v>
      </c>
      <c r="F51" s="20" t="s">
        <v>68</v>
      </c>
      <c r="G51" s="20"/>
      <c r="H51" s="20" t="s">
        <v>27</v>
      </c>
      <c r="I51" s="43">
        <v>46000</v>
      </c>
      <c r="J51" s="20"/>
      <c r="K51" s="20"/>
      <c r="L51" s="20"/>
      <c r="M51" s="43"/>
      <c r="N51" s="42"/>
      <c r="O51" s="20"/>
      <c r="P51" s="20"/>
    </row>
    <row r="52" spans="2:16" s="21" customFormat="1">
      <c r="B52" s="20"/>
      <c r="C52" s="51">
        <f>Sprints!$C$6</f>
        <v>2</v>
      </c>
      <c r="D52" s="20" t="str">
        <f>"TMA-" &amp; TEXT(ROWS($A$2:A45)-1,"000")</f>
        <v>TMA-043</v>
      </c>
      <c r="E52" s="20" t="s">
        <v>13</v>
      </c>
      <c r="F52" s="20" t="s">
        <v>69</v>
      </c>
      <c r="G52" s="20"/>
      <c r="H52" s="20" t="s">
        <v>27</v>
      </c>
      <c r="I52" s="43">
        <v>46000</v>
      </c>
      <c r="J52" s="20"/>
      <c r="K52" s="20"/>
      <c r="L52" s="20"/>
      <c r="M52" s="43"/>
      <c r="N52" s="42"/>
      <c r="O52" s="20"/>
      <c r="P52" s="20"/>
    </row>
    <row r="53" spans="2:16" s="21" customFormat="1">
      <c r="B53" s="20"/>
      <c r="C53" s="51">
        <f>Sprints!$C$6</f>
        <v>2</v>
      </c>
      <c r="D53" s="20" t="str">
        <f>"TMA-" &amp; TEXT(ROWS($A$2:A46)-1,"000")</f>
        <v>TMA-044</v>
      </c>
      <c r="E53" s="20" t="s">
        <v>13</v>
      </c>
      <c r="F53" s="20" t="s">
        <v>70</v>
      </c>
      <c r="G53" s="20" t="s">
        <v>71</v>
      </c>
      <c r="H53" s="20" t="s">
        <v>35</v>
      </c>
      <c r="I53" s="43">
        <v>46000</v>
      </c>
      <c r="J53" s="20"/>
      <c r="K53" s="20"/>
      <c r="L53" s="20"/>
      <c r="M53" s="43"/>
      <c r="N53" s="42"/>
      <c r="O53" s="20"/>
      <c r="P53" s="20"/>
    </row>
    <row r="54" spans="2:16" s="21" customFormat="1">
      <c r="B54" s="20"/>
      <c r="C54" s="51">
        <f>Sprints!$C$6</f>
        <v>2</v>
      </c>
      <c r="D54" s="20" t="str">
        <f>"TMA-" &amp; TEXT(ROWS($A$2:A47)-1,"000")</f>
        <v>TMA-045</v>
      </c>
      <c r="E54" s="20" t="s">
        <v>13</v>
      </c>
      <c r="F54" s="20" t="s">
        <v>72</v>
      </c>
      <c r="G54" s="20"/>
      <c r="H54" s="20" t="s">
        <v>35</v>
      </c>
      <c r="I54" s="43">
        <v>46000</v>
      </c>
      <c r="J54" s="20"/>
      <c r="K54" s="20"/>
      <c r="L54" s="20"/>
      <c r="M54" s="43"/>
      <c r="N54" s="42"/>
      <c r="O54" s="20"/>
      <c r="P54" s="20"/>
    </row>
    <row r="55" spans="2:16" s="21" customFormat="1">
      <c r="B55" s="20"/>
      <c r="C55" s="51">
        <f>Sprints!$C$6</f>
        <v>2</v>
      </c>
      <c r="D55" s="20" t="str">
        <f>"TMA-" &amp; TEXT(ROWS($A$2:A48)-1,"000")</f>
        <v>TMA-046</v>
      </c>
      <c r="E55" s="20" t="s">
        <v>13</v>
      </c>
      <c r="F55" s="20" t="s">
        <v>73</v>
      </c>
      <c r="G55" s="20"/>
      <c r="H55" s="20" t="s">
        <v>35</v>
      </c>
      <c r="I55" s="43">
        <v>46001</v>
      </c>
      <c r="J55" s="20"/>
      <c r="K55" s="20"/>
      <c r="L55" s="20"/>
      <c r="M55" s="43"/>
      <c r="N55" s="42"/>
      <c r="O55" s="20"/>
      <c r="P55" s="20"/>
    </row>
    <row r="56" spans="2:16" s="21" customFormat="1">
      <c r="B56" s="20"/>
      <c r="C56" s="51">
        <f>Sprints!$C$6</f>
        <v>2</v>
      </c>
      <c r="D56" s="20" t="str">
        <f>"TMA-" &amp; TEXT(ROWS($A$2:A49)-1,"000")</f>
        <v>TMA-047</v>
      </c>
      <c r="E56" s="20" t="s">
        <v>13</v>
      </c>
      <c r="F56" s="20" t="s">
        <v>74</v>
      </c>
      <c r="G56" s="20"/>
      <c r="H56" s="20" t="s">
        <v>35</v>
      </c>
      <c r="I56" s="43">
        <v>46002</v>
      </c>
      <c r="J56" s="20"/>
      <c r="K56" s="20"/>
      <c r="L56" s="20"/>
      <c r="M56" s="43"/>
      <c r="N56" s="42"/>
      <c r="O56" s="20"/>
      <c r="P56" s="20"/>
    </row>
    <row r="57" spans="2:16" s="21" customFormat="1">
      <c r="B57" s="20"/>
      <c r="C57" s="51">
        <f>Sprints!$C$6</f>
        <v>2</v>
      </c>
      <c r="D57" s="20" t="str">
        <f>"TMA-" &amp; TEXT(ROWS($A$2:A50)-1,"000")</f>
        <v>TMA-048</v>
      </c>
      <c r="E57" s="20" t="s">
        <v>39</v>
      </c>
      <c r="F57" s="20" t="s">
        <v>75</v>
      </c>
      <c r="G57" s="20"/>
      <c r="H57" s="20" t="s">
        <v>27</v>
      </c>
      <c r="I57" s="43">
        <v>46008</v>
      </c>
      <c r="J57" s="20"/>
      <c r="K57" s="20"/>
      <c r="L57" s="20"/>
      <c r="M57" s="43"/>
      <c r="N57" s="42"/>
      <c r="O57" s="20"/>
      <c r="P57" s="20"/>
    </row>
    <row r="58" spans="2:16" s="21" customFormat="1">
      <c r="B58" s="20"/>
      <c r="C58" s="51">
        <f>Sprints!$C$6</f>
        <v>2</v>
      </c>
      <c r="D58" s="20" t="str">
        <f>"TMA-" &amp; TEXT(ROWS($A$2:A51)-1,"000")</f>
        <v>TMA-049</v>
      </c>
      <c r="E58" s="20" t="s">
        <v>13</v>
      </c>
      <c r="F58" s="20" t="s">
        <v>76</v>
      </c>
      <c r="G58" s="48" t="s">
        <v>77</v>
      </c>
      <c r="H58" s="20" t="s">
        <v>27</v>
      </c>
      <c r="I58" s="43">
        <v>46008</v>
      </c>
      <c r="J58" s="20"/>
      <c r="K58" s="20"/>
      <c r="L58" s="20"/>
      <c r="M58" s="43"/>
      <c r="N58" s="42"/>
      <c r="O58" s="20"/>
      <c r="P58" s="20"/>
    </row>
    <row r="59" spans="2:16" s="21" customFormat="1">
      <c r="B59" s="20"/>
      <c r="C59" s="51">
        <f>Sprints!$C$6</f>
        <v>2</v>
      </c>
      <c r="D59" s="20" t="str">
        <f>"TMA-" &amp; TEXT(ROWS($A$2:A52)-1,"000")</f>
        <v>TMA-050</v>
      </c>
      <c r="E59" s="20" t="s">
        <v>13</v>
      </c>
      <c r="F59" s="20" t="s">
        <v>78</v>
      </c>
      <c r="G59" s="20"/>
      <c r="H59" s="20" t="s">
        <v>27</v>
      </c>
      <c r="I59" s="43">
        <v>46008</v>
      </c>
      <c r="J59" s="20"/>
      <c r="K59" s="20"/>
      <c r="L59" s="20"/>
      <c r="M59" s="43"/>
      <c r="N59" s="42"/>
      <c r="O59" s="20"/>
      <c r="P59" s="20"/>
    </row>
    <row r="60" spans="2:16" s="21" customFormat="1">
      <c r="B60" s="20"/>
      <c r="C60" s="51">
        <f>Sprints!$C$6</f>
        <v>2</v>
      </c>
      <c r="D60" s="20" t="str">
        <f>"TMA-" &amp; TEXT(ROWS($A$2:A53)-1,"000")</f>
        <v>TMA-051</v>
      </c>
      <c r="E60" s="20" t="s">
        <v>39</v>
      </c>
      <c r="F60" s="20" t="s">
        <v>79</v>
      </c>
      <c r="G60" s="20"/>
      <c r="H60" s="20" t="s">
        <v>35</v>
      </c>
      <c r="I60" s="43">
        <v>46014</v>
      </c>
      <c r="J60" s="20"/>
      <c r="K60" s="20"/>
      <c r="L60" s="20"/>
      <c r="M60" s="43"/>
      <c r="N60" s="42"/>
      <c r="O60" s="20"/>
      <c r="P60" s="20"/>
    </row>
    <row r="61" spans="2:16" s="21" customFormat="1">
      <c r="B61" s="20"/>
      <c r="C61" s="51">
        <f>Sprints!$C$6</f>
        <v>2</v>
      </c>
      <c r="D61" s="20" t="str">
        <f>"TMA-" &amp; TEXT(ROWS($A$2:A54)-1,"000")</f>
        <v>TMA-052</v>
      </c>
      <c r="E61" s="20" t="s">
        <v>13</v>
      </c>
      <c r="F61" s="20" t="s">
        <v>80</v>
      </c>
      <c r="G61" s="20"/>
      <c r="H61" s="20" t="s">
        <v>35</v>
      </c>
      <c r="I61" s="43">
        <v>46021</v>
      </c>
      <c r="J61" s="20"/>
      <c r="K61" s="20"/>
      <c r="L61" s="20"/>
      <c r="M61" s="43"/>
      <c r="N61" s="42"/>
      <c r="O61" s="20"/>
      <c r="P61" s="20"/>
    </row>
    <row r="62" spans="2:16" s="21" customFormat="1">
      <c r="B62" s="20"/>
      <c r="C62" s="51">
        <f>Sprints!$C$6</f>
        <v>2</v>
      </c>
      <c r="D62" s="20" t="str">
        <f>"TMA-" &amp; TEXT(ROWS($A$2:A55)-1,"000")</f>
        <v>TMA-053</v>
      </c>
      <c r="E62" s="20" t="s">
        <v>13</v>
      </c>
      <c r="F62" s="20" t="s">
        <v>81</v>
      </c>
      <c r="G62" s="20"/>
      <c r="H62" s="20" t="s">
        <v>27</v>
      </c>
      <c r="I62" s="43">
        <v>45666</v>
      </c>
      <c r="J62" s="20"/>
      <c r="K62" s="20"/>
      <c r="L62" s="20"/>
      <c r="M62" s="43"/>
      <c r="N62" s="42"/>
      <c r="O62" s="20"/>
      <c r="P62" s="20"/>
    </row>
    <row r="63" spans="2:16" s="21" customFormat="1">
      <c r="B63" s="20"/>
      <c r="C63" s="51">
        <f>Sprints!$C$6</f>
        <v>2</v>
      </c>
      <c r="D63" s="20" t="str">
        <f>"TMA-" &amp; TEXT(ROWS($A$2:A56)-1,"000")</f>
        <v>TMA-054</v>
      </c>
      <c r="E63" s="20" t="s">
        <v>13</v>
      </c>
      <c r="F63" s="20" t="s">
        <v>82</v>
      </c>
      <c r="G63" s="20"/>
      <c r="H63" s="20" t="s">
        <v>16</v>
      </c>
      <c r="I63" s="43">
        <v>45666</v>
      </c>
      <c r="J63" s="20"/>
      <c r="K63" s="20"/>
      <c r="L63" s="20"/>
      <c r="M63" s="43"/>
      <c r="N63" s="42"/>
      <c r="O63" s="20"/>
      <c r="P63" s="20"/>
    </row>
    <row r="64" spans="2:16" s="21" customFormat="1">
      <c r="B64" s="20"/>
      <c r="C64" s="51">
        <f>Sprints!$C$6</f>
        <v>2</v>
      </c>
      <c r="D64" s="20" t="str">
        <f>"TMA-" &amp; TEXT(ROWS($A$2:A57)-1,"000")</f>
        <v>TMA-055</v>
      </c>
      <c r="E64" s="20" t="s">
        <v>13</v>
      </c>
      <c r="F64" s="20" t="s">
        <v>83</v>
      </c>
      <c r="G64" s="20"/>
      <c r="H64" s="20" t="s">
        <v>16</v>
      </c>
      <c r="I64" s="43">
        <v>46028</v>
      </c>
      <c r="J64" s="20"/>
      <c r="K64" s="20"/>
      <c r="L64" s="20"/>
      <c r="M64" s="43"/>
      <c r="N64" s="42"/>
      <c r="O64" s="20"/>
      <c r="P64" s="20"/>
    </row>
    <row r="65" spans="2:16" s="21" customFormat="1">
      <c r="B65" s="20"/>
      <c r="C65" s="60"/>
      <c r="D65" s="20" t="str">
        <f>"TMA-" &amp; TEXT(ROWS($A$2:A63)-1,"000")</f>
        <v>TMA-061</v>
      </c>
      <c r="E65" s="20" t="s">
        <v>39</v>
      </c>
      <c r="F65" s="20" t="s">
        <v>84</v>
      </c>
      <c r="G65" s="20" t="s">
        <v>85</v>
      </c>
      <c r="H65" s="20" t="s">
        <v>27</v>
      </c>
      <c r="I65" s="43">
        <v>45666</v>
      </c>
      <c r="J65" s="20"/>
      <c r="K65" s="20"/>
      <c r="L65" s="20"/>
      <c r="M65" s="43"/>
      <c r="N65" s="42"/>
      <c r="O65" s="20"/>
      <c r="P65" s="20"/>
    </row>
    <row r="66" spans="2:16" s="21" customFormat="1">
      <c r="B66" s="20"/>
      <c r="C66" s="51">
        <v>2</v>
      </c>
      <c r="D66" s="20" t="str">
        <f>"TMA-" &amp; TEXT(ROWS($A$2:A32)-1,"000")</f>
        <v>TMA-030</v>
      </c>
      <c r="E66" s="20" t="s">
        <v>39</v>
      </c>
      <c r="F66" s="20" t="s">
        <v>86</v>
      </c>
      <c r="G66" s="20"/>
      <c r="H66" s="20" t="s">
        <v>27</v>
      </c>
      <c r="I66" s="43">
        <v>45666</v>
      </c>
      <c r="J66" s="20"/>
      <c r="K66" s="20"/>
      <c r="L66" s="20"/>
      <c r="M66" s="43"/>
      <c r="N66" s="42"/>
      <c r="O66" s="20"/>
      <c r="P66" s="20"/>
    </row>
    <row r="67" spans="2:16" s="21" customFormat="1">
      <c r="B67" s="63"/>
      <c r="C67" s="51">
        <v>2</v>
      </c>
      <c r="D67" s="20" t="str">
        <f>"TMA-" &amp; TEXT(ROWS($A$2:A33)-1,"000")</f>
        <v>TMA-031</v>
      </c>
      <c r="E67" s="63" t="s">
        <v>13</v>
      </c>
      <c r="F67" s="63" t="s">
        <v>87</v>
      </c>
      <c r="G67" s="64" t="s">
        <v>15</v>
      </c>
      <c r="H67" t="s">
        <v>35</v>
      </c>
      <c r="I67" s="68" t="s">
        <v>88</v>
      </c>
      <c r="J67" t="s">
        <v>89</v>
      </c>
      <c r="K67" s="69"/>
      <c r="L67" s="63"/>
      <c r="M67" s="68"/>
      <c r="N67" s="70" t="s">
        <v>90</v>
      </c>
      <c r="O67" s="63"/>
      <c r="P67" s="20"/>
    </row>
    <row r="68" spans="2:16" s="21" customFormat="1">
      <c r="B68" s="63"/>
      <c r="C68" s="51">
        <v>2</v>
      </c>
      <c r="D68" s="20" t="str">
        <f>"TMA-" &amp; TEXT(ROWS($A$2:A34)-1,"000")</f>
        <v>TMA-032</v>
      </c>
      <c r="E68" s="63" t="s">
        <v>13</v>
      </c>
      <c r="F68" s="63" t="s">
        <v>91</v>
      </c>
      <c r="G68" s="64" t="s">
        <v>15</v>
      </c>
      <c r="H68" t="s">
        <v>27</v>
      </c>
      <c r="I68" s="68" t="s">
        <v>88</v>
      </c>
      <c r="J68" t="s">
        <v>89</v>
      </c>
      <c r="K68" s="63"/>
      <c r="L68" s="63"/>
      <c r="M68" s="68"/>
      <c r="N68" s="71">
        <v>2</v>
      </c>
      <c r="O68" s="63"/>
      <c r="P68" s="20"/>
    </row>
    <row r="69" spans="2:16" s="21" customFormat="1" ht="15" customHeight="1">
      <c r="B69" s="63"/>
      <c r="C69" s="51">
        <v>2</v>
      </c>
      <c r="D69" s="20" t="str">
        <f>"TMA-" &amp; TEXT(ROWS($A$2:A35)-1,"000")</f>
        <v>TMA-033</v>
      </c>
      <c r="E69" s="63" t="s">
        <v>13</v>
      </c>
      <c r="F69" s="63" t="s">
        <v>92</v>
      </c>
      <c r="G69" s="65" t="s">
        <v>93</v>
      </c>
      <c r="H69" t="s">
        <v>27</v>
      </c>
      <c r="I69" s="68" t="s">
        <v>88</v>
      </c>
      <c r="J69" t="s">
        <v>89</v>
      </c>
      <c r="K69" s="63"/>
      <c r="L69" s="63"/>
      <c r="M69" s="68"/>
      <c r="N69" s="70">
        <v>4</v>
      </c>
      <c r="O69" s="63"/>
      <c r="P69" s="20"/>
    </row>
    <row r="70" spans="2:16" s="21" customFormat="1">
      <c r="B70" s="63"/>
      <c r="C70" s="51">
        <v>2</v>
      </c>
      <c r="D70" s="20" t="str">
        <f>"TMA-" &amp; TEXT(ROWS($A$2:A36)-1,"000")</f>
        <v>TMA-034</v>
      </c>
      <c r="E70" s="63" t="s">
        <v>13</v>
      </c>
      <c r="F70" s="63" t="s">
        <v>94</v>
      </c>
      <c r="G70" s="64" t="s">
        <v>15</v>
      </c>
      <c r="H70" t="s">
        <v>35</v>
      </c>
      <c r="I70" s="68" t="s">
        <v>88</v>
      </c>
      <c r="J70" t="s">
        <v>89</v>
      </c>
      <c r="K70" s="63"/>
      <c r="L70" s="63"/>
      <c r="M70" s="68"/>
      <c r="N70" s="70">
        <v>3</v>
      </c>
      <c r="O70" s="63"/>
      <c r="P70" s="20"/>
    </row>
    <row r="71" spans="2:16" s="21" customFormat="1" ht="15" customHeight="1">
      <c r="B71" s="63"/>
      <c r="C71" s="51">
        <v>2</v>
      </c>
      <c r="D71" s="20" t="str">
        <f>"TMA-" &amp; TEXT(ROWS($A$2:A37)-1,"000")</f>
        <v>TMA-035</v>
      </c>
      <c r="E71" s="63" t="s">
        <v>13</v>
      </c>
      <c r="F71" s="66" t="s">
        <v>95</v>
      </c>
      <c r="G71" s="67" t="s">
        <v>96</v>
      </c>
      <c r="H71" s="3" t="s">
        <v>35</v>
      </c>
      <c r="I71" s="68" t="s">
        <v>88</v>
      </c>
      <c r="J71" t="s">
        <v>89</v>
      </c>
      <c r="K71" s="66"/>
      <c r="L71" s="66"/>
      <c r="M71" s="72"/>
      <c r="N71" s="73"/>
      <c r="O71" s="63"/>
      <c r="P71" s="20"/>
    </row>
    <row r="72" spans="2:16" ht="15" customHeight="1">
      <c r="B72" s="63"/>
      <c r="C72" s="51">
        <v>2</v>
      </c>
      <c r="D72" s="20" t="str">
        <f>"TMA-" &amp; TEXT(ROWS($A$2:A38)-1,"000")</f>
        <v>TMA-036</v>
      </c>
      <c r="E72" s="63" t="s">
        <v>13</v>
      </c>
      <c r="F72" s="66" t="s">
        <v>97</v>
      </c>
      <c r="G72" s="67" t="s">
        <v>98</v>
      </c>
      <c r="H72" s="3" t="s">
        <v>16</v>
      </c>
      <c r="I72" s="43">
        <v>46062</v>
      </c>
      <c r="J72" t="s">
        <v>89</v>
      </c>
      <c r="K72" s="66"/>
      <c r="L72" s="66"/>
      <c r="M72" s="72"/>
      <c r="N72" s="73"/>
      <c r="O72" s="63"/>
      <c r="P72" s="20"/>
    </row>
    <row r="73" spans="2:16" ht="15" customHeight="1">
      <c r="B73" s="63"/>
      <c r="C73" s="51">
        <v>2</v>
      </c>
      <c r="D73" s="20" t="str">
        <f>"TMA-" &amp; TEXT(ROWS($A$2:A39)-1,"000")</f>
        <v>TMA-037</v>
      </c>
      <c r="E73" s="63" t="s">
        <v>39</v>
      </c>
      <c r="F73" s="66" t="s">
        <v>99</v>
      </c>
      <c r="G73" s="67"/>
      <c r="H73" s="3" t="s">
        <v>27</v>
      </c>
      <c r="I73" s="43">
        <v>46062</v>
      </c>
      <c r="J73" t="s">
        <v>89</v>
      </c>
      <c r="K73" s="66"/>
      <c r="L73" s="66"/>
      <c r="M73" s="72"/>
      <c r="N73" s="73"/>
      <c r="O73" s="63"/>
      <c r="P73" s="20"/>
    </row>
  </sheetData>
  <conditionalFormatting sqref="H74:I509 H9:H66">
    <cfRule type="expression" dxfId="16" priority="11">
      <formula>$H9="Low"</formula>
    </cfRule>
    <cfRule type="expression" dxfId="15" priority="12">
      <formula>$H9="Medium"</formula>
    </cfRule>
    <cfRule type="expression" dxfId="14" priority="13">
      <formula>$H9="High"</formula>
    </cfRule>
  </conditionalFormatting>
  <conditionalFormatting sqref="J74:J509 J9:J37 J40:J66">
    <cfRule type="expression" dxfId="13" priority="14">
      <formula>$J9="Not Started"</formula>
    </cfRule>
    <cfRule type="expression" dxfId="12" priority="15">
      <formula>$J9="In Progress"</formula>
    </cfRule>
    <cfRule type="expression" dxfId="11" priority="16">
      <formula>$J9="STAGING"</formula>
    </cfRule>
    <cfRule type="expression" dxfId="10" priority="17">
      <formula>$J9="PROD"</formula>
    </cfRule>
  </conditionalFormatting>
  <conditionalFormatting sqref="H67:I71">
    <cfRule type="expression" dxfId="9" priority="4">
      <formula>$H67="Low"</formula>
    </cfRule>
    <cfRule type="expression" dxfId="8" priority="5">
      <formula>$H67="Medium"</formula>
    </cfRule>
    <cfRule type="expression" dxfId="7" priority="6">
      <formula>$H67="High"</formula>
    </cfRule>
  </conditionalFormatting>
  <conditionalFormatting sqref="J67:J73">
    <cfRule type="expression" dxfId="6" priority="7">
      <formula>$J67="Not Started"</formula>
    </cfRule>
    <cfRule type="expression" dxfId="5" priority="8">
      <formula>$J67="In Progress"</formula>
    </cfRule>
    <cfRule type="expression" dxfId="4" priority="9">
      <formula>$J67="STAGING"</formula>
    </cfRule>
    <cfRule type="expression" dxfId="3" priority="10">
      <formula>$J67="PROD"</formula>
    </cfRule>
  </conditionalFormatting>
  <conditionalFormatting sqref="H72:H73">
    <cfRule type="expression" dxfId="2" priority="1">
      <formula>$H72="Low"</formula>
    </cfRule>
    <cfRule type="expression" dxfId="1" priority="2">
      <formula>$H72="Medium"</formula>
    </cfRule>
    <cfRule type="expression" dxfId="0" priority="3">
      <formula>$H72="High"</formula>
    </cfRule>
  </conditionalFormatting>
  <dataValidations count="4">
    <dataValidation type="list" allowBlank="1" showInputMessage="1" showErrorMessage="1" sqref="E9:E66 E68 E74:E509" xr:uid="{00000000-0002-0000-0000-000000000000}">
      <formula1>"Task,Bug"</formula1>
    </dataValidation>
    <dataValidation type="list" allowBlank="1" showInputMessage="1" showErrorMessage="1" sqref="H9:H509" xr:uid="{00000000-0002-0000-0000-000001000000}">
      <formula1>"Low,Medium,High"</formula1>
    </dataValidation>
    <dataValidation type="list" allowBlank="1" showInputMessage="1" showErrorMessage="1" sqref="J9:J509" xr:uid="{00000000-0002-0000-0000-000002000000}">
      <formula1>"Not Started,In Progress,STAGING,PROD"</formula1>
    </dataValidation>
    <dataValidation allowBlank="1" showInputMessage="1" showErrorMessage="1" sqref="I1:I1048576" xr:uid="{2A78B194-1124-462A-B61B-69F93FF9B349}"/>
  </dataValidations>
  <hyperlinks>
    <hyperlink ref="G9" r:id="rId1" xr:uid="{5C83E3D7-EA27-401F-8A19-ECF8E2855F60}"/>
    <hyperlink ref="G10:G30" r:id="rId2" display="Tech Ref" xr:uid="{21F4912C-B9AE-453B-866F-B6305EFC8546}"/>
    <hyperlink ref="G42" r:id="rId3" xr:uid="{0B0C923D-28D3-450B-B48C-A0ED03691E68}"/>
    <hyperlink ref="G67" r:id="rId4" xr:uid="{C0DFAB9A-A7DB-4269-A2AF-0BBA000639EE}"/>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096BFBB-2CCD-495C-8F57-965E7E0B6C11}">
          <x14:formula1>
            <xm:f>Users!$B$2:$B$5</xm:f>
          </x14:formula1>
          <xm:sqref>L67:L70 L9:L39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B1:W11"/>
  <sheetViews>
    <sheetView showGridLines="0" workbookViewId="0">
      <pane xSplit="3" ySplit="2" topLeftCell="D3" activePane="bottomRight" state="frozen"/>
      <selection pane="bottomRight"/>
      <selection pane="bottomLeft"/>
      <selection pane="topRight"/>
    </sheetView>
  </sheetViews>
  <sheetFormatPr defaultColWidth="8.7109375" defaultRowHeight="99.75" customHeight="1"/>
  <cols>
    <col min="1" max="2" width="1.85546875" customWidth="1"/>
    <col min="3" max="3" width="17" customWidth="1"/>
    <col min="4" max="4" width="186.140625" customWidth="1"/>
    <col min="5" max="5" width="14.5703125" style="5" customWidth="1"/>
    <col min="6" max="6" width="11.7109375" bestFit="1" customWidth="1"/>
    <col min="7" max="7" width="2.7109375" customWidth="1"/>
    <col min="8" max="23" width="10.28515625" bestFit="1" customWidth="1"/>
  </cols>
  <sheetData>
    <row r="1" spans="2:23" ht="18" customHeight="1"/>
    <row r="2" spans="2:23" s="8" customFormat="1" ht="99.75" customHeight="1">
      <c r="B2" s="9"/>
      <c r="C2" s="9" t="s">
        <v>2</v>
      </c>
      <c r="D2" s="11" t="s">
        <v>100</v>
      </c>
      <c r="E2" s="11" t="s">
        <v>101</v>
      </c>
      <c r="F2" s="11" t="s">
        <v>102</v>
      </c>
      <c r="G2" s="11"/>
      <c r="H2" s="14"/>
      <c r="I2" s="14"/>
      <c r="J2" s="14"/>
      <c r="K2" s="14"/>
      <c r="L2" s="14"/>
      <c r="M2" s="14"/>
      <c r="N2" s="14"/>
      <c r="O2" s="14"/>
      <c r="P2" s="14"/>
      <c r="Q2" s="14"/>
      <c r="R2" s="14"/>
      <c r="S2" s="14"/>
      <c r="T2" s="14"/>
      <c r="U2" s="14"/>
      <c r="V2" s="14"/>
      <c r="W2" s="14"/>
    </row>
    <row r="3" spans="2:23" ht="99.75" customHeight="1">
      <c r="C3" t="str">
        <f>'Dev Tracker'!D18</f>
        <v>TMA-009</v>
      </c>
      <c r="D3" s="19" t="s">
        <v>103</v>
      </c>
      <c r="E3" s="16" t="s">
        <v>104</v>
      </c>
      <c r="F3" s="6">
        <v>45973</v>
      </c>
      <c r="G3" s="1"/>
      <c r="H3" s="1"/>
      <c r="I3" s="1"/>
      <c r="J3" s="1"/>
      <c r="K3" s="1"/>
      <c r="L3" s="1"/>
      <c r="M3" s="1"/>
      <c r="N3" s="1"/>
      <c r="O3" s="1"/>
      <c r="P3" s="1"/>
      <c r="Q3" s="1"/>
      <c r="R3" s="1"/>
      <c r="S3" s="1"/>
      <c r="T3" s="1"/>
      <c r="U3" s="1"/>
      <c r="V3" s="1"/>
      <c r="W3" s="1"/>
    </row>
    <row r="4" spans="2:23" ht="99.75" customHeight="1">
      <c r="C4" t="str">
        <f>'Dev Tracker'!D39</f>
        <v>TMA-022</v>
      </c>
      <c r="D4" t="s">
        <v>105</v>
      </c>
      <c r="E4" t="s">
        <v>104</v>
      </c>
      <c r="F4" s="2">
        <v>45974</v>
      </c>
    </row>
    <row r="5" spans="2:23" ht="99.75" customHeight="1">
      <c r="C5" t="str">
        <f>'Dev Tracker'!D14</f>
        <v>TMA-005</v>
      </c>
      <c r="D5" s="3" t="s">
        <v>106</v>
      </c>
      <c r="E5" s="5" t="s">
        <v>104</v>
      </c>
      <c r="F5" s="2">
        <v>45974</v>
      </c>
    </row>
    <row r="6" spans="2:23" ht="99.75" customHeight="1">
      <c r="C6" t="str">
        <f>'Dev Tracker'!D39</f>
        <v>TMA-022</v>
      </c>
      <c r="D6" s="17" t="s">
        <v>107</v>
      </c>
      <c r="E6" s="5" t="s">
        <v>104</v>
      </c>
      <c r="F6" s="2">
        <v>45974</v>
      </c>
    </row>
    <row r="7" spans="2:23" ht="99.75" customHeight="1">
      <c r="C7" t="str">
        <f>'Dev Tracker'!D39</f>
        <v>TMA-022</v>
      </c>
      <c r="D7" s="18" t="s">
        <v>108</v>
      </c>
      <c r="E7" s="5" t="s">
        <v>104</v>
      </c>
      <c r="F7" s="2">
        <v>45974</v>
      </c>
    </row>
    <row r="8" spans="2:23" ht="99.75" customHeight="1">
      <c r="C8" t="str">
        <f>C5</f>
        <v>TMA-005</v>
      </c>
      <c r="D8" s="3" t="s">
        <v>109</v>
      </c>
    </row>
    <row r="9" spans="2:23" ht="99.75" customHeight="1">
      <c r="C9" t="str">
        <f>'Dev Tracker'!D43</f>
        <v>TMA-026</v>
      </c>
      <c r="D9" s="50" t="s">
        <v>110</v>
      </c>
      <c r="E9" s="5" t="s">
        <v>104</v>
      </c>
      <c r="F9" s="2">
        <v>46000</v>
      </c>
    </row>
    <row r="10" spans="2:23" ht="99.75" customHeight="1">
      <c r="C10" t="str">
        <f>'Dev Tracker'!D17</f>
        <v>TMA-008</v>
      </c>
      <c r="D10" t="s">
        <v>111</v>
      </c>
      <c r="E10" s="5" t="s">
        <v>104</v>
      </c>
      <c r="F10" s="2">
        <v>46000</v>
      </c>
    </row>
    <row r="11" spans="2:23" ht="99.75" customHeight="1">
      <c r="C11" t="str">
        <f>'Dev Tracker'!D15</f>
        <v>TMA-006</v>
      </c>
      <c r="D11" t="s">
        <v>112</v>
      </c>
      <c r="E11" s="5" t="s">
        <v>104</v>
      </c>
      <c r="F11" s="2">
        <v>46000</v>
      </c>
    </row>
  </sheetData>
  <autoFilter ref="C2:F3" xr:uid="{00000000-0001-0000-0200-000000000000}"/>
  <hyperlinks>
    <hyperlink ref="D6" r:id="rId1" xr:uid="{FB8BD655-6BE6-48A5-8827-0406176E3D07}"/>
    <hyperlink ref="D7" r:id="rId2" xr:uid="{49A38ECD-2D5A-4511-9709-5E52187EFCAC}"/>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5F8F2CC-4CDE-45F3-990F-5A57D16D42B0}">
          <x14:formula1>
            <xm:f>Users!$B$2:$B$4</xm:f>
          </x14:formula1>
          <xm:sqref>E5:E1048576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FEDF-B9D9-446B-A7E2-E4FE36E16525}">
  <sheetPr>
    <tabColor rgb="FFFFC000"/>
  </sheetPr>
  <dimension ref="B2:O7"/>
  <sheetViews>
    <sheetView showGridLines="0" workbookViewId="0">
      <pane xSplit="6" ySplit="2" topLeftCell="G3" activePane="bottomRight" state="frozen"/>
      <selection pane="bottomRight" activeCell="B3" sqref="B3"/>
      <selection pane="bottomLeft"/>
      <selection pane="topRight"/>
    </sheetView>
  </sheetViews>
  <sheetFormatPr defaultRowHeight="15" customHeight="1"/>
  <cols>
    <col min="1" max="2" width="1.7109375" customWidth="1"/>
    <col min="3" max="3" width="12.42578125" customWidth="1"/>
    <col min="4" max="4" width="14.42578125" customWidth="1"/>
    <col min="5" max="5" width="10.7109375" customWidth="1"/>
    <col min="6" max="6" width="84.28515625" customWidth="1"/>
    <col min="7" max="7" width="34.7109375" customWidth="1"/>
    <col min="8" max="9" width="15.140625" customWidth="1"/>
    <col min="10" max="10" width="15.42578125" customWidth="1"/>
    <col min="11" max="12" width="20.7109375" customWidth="1"/>
    <col min="13" max="13" width="20.7109375" style="4" customWidth="1"/>
    <col min="14" max="14" width="20.7109375" style="8" customWidth="1"/>
    <col min="15" max="15" width="2.5703125" customWidth="1"/>
  </cols>
  <sheetData>
    <row r="2" spans="2:15" s="8" customFormat="1" ht="30.75">
      <c r="B2" s="9"/>
      <c r="C2" s="9" t="s">
        <v>0</v>
      </c>
      <c r="D2" s="9" t="s">
        <v>2</v>
      </c>
      <c r="E2" s="9" t="s">
        <v>3</v>
      </c>
      <c r="F2" s="9" t="s">
        <v>4</v>
      </c>
      <c r="G2" s="9" t="s">
        <v>113</v>
      </c>
      <c r="H2" s="9" t="s">
        <v>6</v>
      </c>
      <c r="I2" s="13" t="s">
        <v>7</v>
      </c>
      <c r="J2" s="9" t="s">
        <v>8</v>
      </c>
      <c r="K2" s="10" t="s">
        <v>9</v>
      </c>
      <c r="L2" s="11" t="s">
        <v>10</v>
      </c>
      <c r="M2" s="12" t="s">
        <v>11</v>
      </c>
      <c r="N2" s="10" t="s">
        <v>114</v>
      </c>
      <c r="O2" s="9"/>
    </row>
    <row r="3" spans="2:15"/>
    <row r="4" spans="2:15"/>
    <row r="6" spans="2:15"/>
    <row r="7" spans="2:15" ht="14.25" customHeight="1"/>
  </sheetData>
  <autoFilter ref="C2:N7" xr:uid="{330AFEDF-B9D9-446B-A7E2-E4FE36E16525}"/>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
  <sheetViews>
    <sheetView showGridLines="0" topLeftCell="C1" workbookViewId="0">
      <selection activeCell="D10" sqref="D10"/>
    </sheetView>
  </sheetViews>
  <sheetFormatPr defaultColWidth="10.5703125" defaultRowHeight="15" customHeight="1"/>
  <cols>
    <col min="1" max="2" width="1.5703125" customWidth="1"/>
    <col min="3" max="7" width="50.7109375" customWidth="1"/>
    <col min="8" max="8" width="3.28515625" customWidth="1"/>
  </cols>
  <sheetData>
    <row r="1" spans="2:8">
      <c r="H1" s="15"/>
    </row>
    <row r="2" spans="2:8" s="8" customFormat="1">
      <c r="B2" s="9"/>
      <c r="C2" s="9"/>
      <c r="D2" s="9"/>
      <c r="E2" s="9"/>
      <c r="F2" s="9"/>
      <c r="G2" s="9"/>
      <c r="H2" s="9"/>
    </row>
    <row r="3" spans="2:8" s="8" customFormat="1">
      <c r="B3" s="9"/>
      <c r="C3" s="9" t="s">
        <v>115</v>
      </c>
      <c r="D3" s="9" t="s">
        <v>116</v>
      </c>
      <c r="E3" s="9" t="s">
        <v>11</v>
      </c>
      <c r="F3" s="9" t="s">
        <v>117</v>
      </c>
      <c r="G3" s="9" t="s">
        <v>118</v>
      </c>
      <c r="H3" s="9"/>
    </row>
    <row r="4" spans="2:8" s="8" customFormat="1">
      <c r="B4" s="9"/>
      <c r="C4" s="9"/>
      <c r="D4" s="9"/>
      <c r="E4" s="9"/>
      <c r="F4" s="9"/>
      <c r="G4" s="9"/>
      <c r="H4" s="9"/>
    </row>
    <row r="5" spans="2:8" s="7" customFormat="1">
      <c r="C5" s="7">
        <v>1</v>
      </c>
      <c r="D5" s="45">
        <v>45959</v>
      </c>
      <c r="E5" s="45">
        <v>45999</v>
      </c>
      <c r="F5" s="45">
        <v>46055</v>
      </c>
      <c r="G5" s="7">
        <v>81</v>
      </c>
    </row>
    <row r="6" spans="2:8" ht="15" customHeight="1">
      <c r="C6">
        <v>2</v>
      </c>
      <c r="D6" s="2">
        <v>46065</v>
      </c>
      <c r="E6" s="59"/>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D581-19A4-476C-9147-0730A62662F7}">
  <sheetPr>
    <tabColor theme="1"/>
  </sheetPr>
  <dimension ref="A1:B5"/>
  <sheetViews>
    <sheetView workbookViewId="0">
      <selection activeCell="B6" sqref="B6"/>
    </sheetView>
  </sheetViews>
  <sheetFormatPr defaultRowHeight="15"/>
  <sheetData>
    <row r="1" spans="1:2">
      <c r="A1" t="s">
        <v>119</v>
      </c>
      <c r="B1" t="s">
        <v>120</v>
      </c>
    </row>
    <row r="2" spans="1:2">
      <c r="A2" t="s">
        <v>121</v>
      </c>
      <c r="B2" t="s">
        <v>104</v>
      </c>
    </row>
    <row r="3" spans="1:2">
      <c r="A3" t="s">
        <v>122</v>
      </c>
      <c r="B3" t="s">
        <v>123</v>
      </c>
    </row>
    <row r="4" spans="1:2">
      <c r="A4" t="s">
        <v>124</v>
      </c>
      <c r="B4" t="s">
        <v>18</v>
      </c>
    </row>
    <row r="5" spans="1:2">
      <c r="A5" t="s">
        <v>125</v>
      </c>
      <c r="B5"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18d43c-23d5-4a47-93b9-16b5dc3564d0" xsi:nil="true"/>
    <lcf76f155ced4ddcb4097134ff3c332f xmlns="75671d65-1018-48ae-8500-ee64a5390f1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CA4D12D98E6D4AAE8A9E75023630AE" ma:contentTypeVersion="13" ma:contentTypeDescription="Create a new document." ma:contentTypeScope="" ma:versionID="7b3e3145d29fe93f7bf8474432532f74">
  <xsd:schema xmlns:xsd="http://www.w3.org/2001/XMLSchema" xmlns:xs="http://www.w3.org/2001/XMLSchema" xmlns:p="http://schemas.microsoft.com/office/2006/metadata/properties" xmlns:ns2="75671d65-1018-48ae-8500-ee64a5390f13" xmlns:ns3="7f18d43c-23d5-4a47-93b9-16b5dc3564d0" targetNamespace="http://schemas.microsoft.com/office/2006/metadata/properties" ma:root="true" ma:fieldsID="7db6f5e6aa0bf0c482fa2816b93b3037" ns2:_="" ns3:_="">
    <xsd:import namespace="75671d65-1018-48ae-8500-ee64a5390f13"/>
    <xsd:import namespace="7f18d43c-23d5-4a47-93b9-16b5dc3564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671d65-1018-48ae-8500-ee64a5390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b435162-bc40-41e2-ace6-2a69ebf3449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18d43c-23d5-4a47-93b9-16b5dc3564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a8c9596-47a9-4285-ba21-b9dc3b08d6dd}" ma:internalName="TaxCatchAll" ma:showField="CatchAllData" ma:web="7f18d43c-23d5-4a47-93b9-16b5dc3564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021662-F777-4BA8-80A2-0768E406DDA9}"/>
</file>

<file path=customXml/itemProps2.xml><?xml version="1.0" encoding="utf-8"?>
<ds:datastoreItem xmlns:ds="http://schemas.openxmlformats.org/officeDocument/2006/customXml" ds:itemID="{F4294100-AD77-4C8F-9ADB-F7B690E3FFCE}"/>
</file>

<file path=customXml/itemProps3.xml><?xml version="1.0" encoding="utf-8"?>
<ds:datastoreItem xmlns:ds="http://schemas.openxmlformats.org/officeDocument/2006/customXml" ds:itemID="{C0B3D020-A7D4-4649-8194-8156094691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2025-10-29T20:58:45Z</dcterms:created>
  <dcterms:modified xsi:type="dcterms:W3CDTF">2026-02-12T22:19:17Z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0x0101005CCA4D12D98E6D4AAE8A9E75023630AE</vt:lpwstr>
  </property>
  <property fmtid="{D5CDD505-2E9C-101B-9397-08002B2CF9AE}" pid="3" name="MediaServiceImageTags">
    <vt:lpwstr/>
  </property>
</Properties>
</file>