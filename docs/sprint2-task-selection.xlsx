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2 Task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2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CCCC"/>
        <bgColor rgb="00FFCCCC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164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applyAlignment="1" pivotButton="0" quotePrefix="0" xfId="0">
      <alignment horizontal="center"/>
    </xf>
    <xf numFmtId="0" fontId="0" fillId="7" borderId="1" pivotButton="0" quotePrefix="0" xfId="0"/>
    <xf numFmtId="0" fontId="3" fillId="7" borderId="1" pivotButton="0" quotePrefix="0" xfId="0"/>
    <xf numFmtId="164" fontId="3" fillId="7" borderId="1" pivotButton="0" quotePrefix="0" xfId="0"/>
    <xf numFmtId="0" fontId="3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2" customWidth="1" min="3" max="3"/>
    <col width="55" customWidth="1" min="4" max="4"/>
    <col width="10" customWidth="1" min="5" max="5"/>
    <col width="8" customWidth="1" min="6" max="6"/>
    <col width="15" customWidth="1" min="7" max="7"/>
  </cols>
  <sheetData>
    <row r="1">
      <c r="A1" s="1" t="inlineStr">
        <is>
          <t>Instructions: Change "Yes" to "No" in column A to remove items. Totals update automatically.</t>
        </is>
      </c>
    </row>
    <row r="2">
      <c r="A2" s="2" t="inlineStr">
        <is>
          <t>Include?</t>
        </is>
      </c>
      <c r="B2" s="2" t="inlineStr">
        <is>
          <t>#</t>
        </is>
      </c>
      <c r="C2" s="2" t="inlineStr">
        <is>
          <t>Ticket</t>
        </is>
      </c>
      <c r="D2" s="2" t="inlineStr">
        <is>
          <t>Item</t>
        </is>
      </c>
      <c r="E2" s="2" t="inlineStr">
        <is>
          <t>Priority</t>
        </is>
      </c>
      <c r="F2" s="2" t="inlineStr">
        <is>
          <t>Hours</t>
        </is>
      </c>
      <c r="G2" s="2" t="inlineStr">
        <is>
          <t>Cost ($100/hr)</t>
        </is>
      </c>
    </row>
    <row r="3">
      <c r="A3" s="3" t="inlineStr">
        <is>
          <t>Yes</t>
        </is>
      </c>
      <c r="B3" s="3" t="n">
        <v>1</v>
      </c>
      <c r="C3" s="4" t="inlineStr">
        <is>
          <t>TMA-063</t>
        </is>
      </c>
      <c r="D3" s="4" t="inlineStr">
        <is>
          <t>Weekly Order Reminder Notifications</t>
        </is>
      </c>
      <c r="E3" s="3" t="inlineStr">
        <is>
          <t>High</t>
        </is>
      </c>
      <c r="F3" s="3" t="n">
        <v>3</v>
      </c>
      <c r="G3" s="5">
        <f>IF(A2="Yes",F2*100,0)</f>
        <v/>
      </c>
    </row>
    <row r="4">
      <c r="A4" s="3" t="inlineStr">
        <is>
          <t>Yes</t>
        </is>
      </c>
      <c r="B4" s="3" t="n">
        <v>2</v>
      </c>
      <c r="C4" s="4" t="inlineStr">
        <is>
          <t>TMA-026</t>
        </is>
      </c>
      <c r="D4" s="4" t="inlineStr">
        <is>
          <t>Email Campaign Automation</t>
        </is>
      </c>
      <c r="E4" s="3" t="inlineStr">
        <is>
          <t>High</t>
        </is>
      </c>
      <c r="F4" s="3" t="n">
        <v>3</v>
      </c>
      <c r="G4" s="5">
        <f>IF(A3="Yes",F3*100,0)</f>
        <v/>
      </c>
    </row>
    <row r="5">
      <c r="A5" s="3" t="inlineStr">
        <is>
          <t>Yes</t>
        </is>
      </c>
      <c r="B5" s="3" t="n">
        <v>3</v>
      </c>
      <c r="C5" s="4" t="inlineStr">
        <is>
          <t>TMA-037</t>
        </is>
      </c>
      <c r="D5" s="4" t="inlineStr">
        <is>
          <t>Order Time Blockout Logic</t>
        </is>
      </c>
      <c r="E5" s="3" t="inlineStr">
        <is>
          <t>High</t>
        </is>
      </c>
      <c r="F5" s="3" t="n">
        <v>6</v>
      </c>
      <c r="G5" s="5">
        <f>IF(A4="Yes",F4*100,0)</f>
        <v/>
      </c>
    </row>
    <row r="6">
      <c r="A6" s="3" t="inlineStr">
        <is>
          <t>Yes</t>
        </is>
      </c>
      <c r="B6" s="3" t="n">
        <v>4</v>
      </c>
      <c r="C6" s="4" t="inlineStr">
        <is>
          <t>TMA-054</t>
        </is>
      </c>
      <c r="D6" s="4" t="inlineStr">
        <is>
          <t>In-App Bug &amp; Issue Reporting</t>
        </is>
      </c>
      <c r="E6" s="3" t="inlineStr">
        <is>
          <t>High</t>
        </is>
      </c>
      <c r="F6" s="3" t="n">
        <v>4</v>
      </c>
      <c r="G6" s="5">
        <f>IF(A5="Yes",F5*100,0)</f>
        <v/>
      </c>
    </row>
    <row r="7">
      <c r="A7" s="3" t="inlineStr">
        <is>
          <t>Yes</t>
        </is>
      </c>
      <c r="B7" s="3" t="n">
        <v>5</v>
      </c>
      <c r="C7" s="4" t="inlineStr">
        <is>
          <t>TMA-055</t>
        </is>
      </c>
      <c r="D7" s="4" t="inlineStr">
        <is>
          <t>SMS Notifications for Chat Messages</t>
        </is>
      </c>
      <c r="E7" s="3" t="inlineStr">
        <is>
          <t>High</t>
        </is>
      </c>
      <c r="F7" s="3" t="n">
        <v>2</v>
      </c>
      <c r="G7" s="5">
        <f>IF(A6="Yes",F6*100,0)</f>
        <v/>
      </c>
    </row>
    <row r="8">
      <c r="A8" s="3" t="inlineStr">
        <is>
          <t>Yes</t>
        </is>
      </c>
      <c r="B8" s="3" t="n">
        <v>6</v>
      </c>
      <c r="C8" s="4" t="inlineStr">
        <is>
          <t>TMA-036</t>
        </is>
      </c>
      <c r="D8" s="4" t="inlineStr">
        <is>
          <t>Privacy Policy &amp; Terms of Service Pages</t>
        </is>
      </c>
      <c r="E8" s="3" t="inlineStr">
        <is>
          <t>High</t>
        </is>
      </c>
      <c r="F8" s="3" t="n">
        <v>1</v>
      </c>
      <c r="G8" s="5">
        <f>IF(A7="Yes",F7*100,0)</f>
        <v/>
      </c>
    </row>
    <row r="9">
      <c r="A9" s="6" t="n"/>
      <c r="B9" s="6" t="n"/>
      <c r="C9" s="6" t="n"/>
      <c r="D9" s="7" t="inlineStr">
        <is>
          <t>HIGH PRIORITY SUBTOTAL</t>
        </is>
      </c>
      <c r="E9" s="6" t="n"/>
      <c r="F9" s="7">
        <f>SUMPRODUCT((A2:A7="Yes")*(F2:F7))</f>
        <v/>
      </c>
      <c r="G9" s="8">
        <f>F8*100</f>
        <v/>
      </c>
    </row>
    <row r="10">
      <c r="A10" s="9" t="inlineStr">
        <is>
          <t>Yes</t>
        </is>
      </c>
      <c r="B10" s="9" t="n">
        <v>7</v>
      </c>
      <c r="C10" s="10" t="inlineStr">
        <is>
          <t>TMA-022</t>
        </is>
      </c>
      <c r="D10" s="10" t="inlineStr">
        <is>
          <t>Chef Profile Visibility in Admin (Pre-Activation)</t>
        </is>
      </c>
      <c r="E10" s="9" t="inlineStr">
        <is>
          <t>Medium</t>
        </is>
      </c>
      <c r="F10" s="9" t="n">
        <v>1</v>
      </c>
      <c r="G10" s="11">
        <f>IF(A9="Yes",F9*100,0)</f>
        <v/>
      </c>
    </row>
    <row r="11">
      <c r="A11" s="9" t="inlineStr">
        <is>
          <t>Yes</t>
        </is>
      </c>
      <c r="B11" s="9" t="n">
        <v>8</v>
      </c>
      <c r="C11" s="10" t="inlineStr">
        <is>
          <t>TMA-025</t>
        </is>
      </c>
      <c r="D11" s="10" t="inlineStr">
        <is>
          <t>Stripe Transaction Notifications</t>
        </is>
      </c>
      <c r="E11" s="9" t="inlineStr">
        <is>
          <t>Medium</t>
        </is>
      </c>
      <c r="F11" s="9" t="n">
        <v>5</v>
      </c>
      <c r="G11" s="11">
        <f>IF(A10="Yes",F10*100,0)</f>
        <v/>
      </c>
    </row>
    <row r="12">
      <c r="A12" s="9" t="inlineStr">
        <is>
          <t>Yes</t>
        </is>
      </c>
      <c r="B12" s="9" t="n">
        <v>9</v>
      </c>
      <c r="C12" s="10" t="inlineStr">
        <is>
          <t>TMA-027</t>
        </is>
      </c>
      <c r="D12" s="10" t="inlineStr">
        <is>
          <t>Increase Review Character Limit (100 to 200)</t>
        </is>
      </c>
      <c r="E12" s="9" t="inlineStr">
        <is>
          <t>Medium</t>
        </is>
      </c>
      <c r="F12" s="9" t="n">
        <v>0.5</v>
      </c>
      <c r="G12" s="11">
        <f>IF(A11="Yes",F11*100,0)</f>
        <v/>
      </c>
    </row>
    <row r="13">
      <c r="A13" s="9" t="inlineStr">
        <is>
          <t>Yes</t>
        </is>
      </c>
      <c r="B13" s="9" t="n">
        <v>10</v>
      </c>
      <c r="C13" s="10" t="inlineStr">
        <is>
          <t>TMA-040</t>
        </is>
      </c>
      <c r="D13" s="10" t="inlineStr">
        <is>
          <t>Chef Safety Reminder on Departure</t>
        </is>
      </c>
      <c r="E13" s="9" t="inlineStr">
        <is>
          <t>Medium</t>
        </is>
      </c>
      <c r="F13" s="9" t="n">
        <v>0.5</v>
      </c>
      <c r="G13" s="11">
        <f>IF(A12="Yes",F12*100,0)</f>
        <v/>
      </c>
    </row>
    <row r="14">
      <c r="A14" s="9" t="inlineStr">
        <is>
          <t>Yes</t>
        </is>
      </c>
      <c r="B14" s="9" t="n">
        <v>11</v>
      </c>
      <c r="C14" s="10" t="inlineStr">
        <is>
          <t>TMA-041</t>
        </is>
      </c>
      <c r="D14" s="10" t="inlineStr">
        <is>
          <t>Standard vs. Meal Prep Menu Item Type</t>
        </is>
      </c>
      <c r="E14" s="9" t="inlineStr">
        <is>
          <t>Medium</t>
        </is>
      </c>
      <c r="F14" s="9" t="n">
        <v>3</v>
      </c>
      <c r="G14" s="11">
        <f>IF(A13="Yes",F13*100,0)</f>
        <v/>
      </c>
    </row>
    <row r="15">
      <c r="A15" s="9" t="inlineStr">
        <is>
          <t>Yes</t>
        </is>
      </c>
      <c r="B15" s="9" t="n">
        <v>12</v>
      </c>
      <c r="C15" s="10" t="inlineStr">
        <is>
          <t>TMA-042</t>
        </is>
      </c>
      <c r="D15" s="10" t="inlineStr">
        <is>
          <t>Chef Messaging: Avoid Frozen Ingredients</t>
        </is>
      </c>
      <c r="E15" s="9" t="inlineStr">
        <is>
          <t>Medium</t>
        </is>
      </c>
      <c r="F15" s="9" t="n">
        <v>0.5</v>
      </c>
      <c r="G15" s="11">
        <f>IF(A14="Yes",F14*100,0)</f>
        <v/>
      </c>
    </row>
    <row r="16">
      <c r="A16" s="9" t="inlineStr">
        <is>
          <t>Yes</t>
        </is>
      </c>
      <c r="B16" s="9" t="n">
        <v>13</v>
      </c>
      <c r="C16" s="10" t="inlineStr">
        <is>
          <t>TMA-043</t>
        </is>
      </c>
      <c r="D16" s="10" t="inlineStr">
        <is>
          <t>Chef Cleanup Reminder on Order Completion</t>
        </is>
      </c>
      <c r="E16" s="9" t="inlineStr">
        <is>
          <t>Medium</t>
        </is>
      </c>
      <c r="F16" s="9" t="n">
        <v>0.5</v>
      </c>
      <c r="G16" s="11">
        <f>IF(A15="Yes",F15*100,0)</f>
        <v/>
      </c>
    </row>
    <row r="17">
      <c r="A17" s="9" t="inlineStr">
        <is>
          <t>Yes</t>
        </is>
      </c>
      <c r="B17" s="9" t="n">
        <v>14</v>
      </c>
      <c r="C17" s="10" t="inlineStr">
        <is>
          <t>TMA-048</t>
        </is>
      </c>
      <c r="D17" s="10" t="inlineStr">
        <is>
          <t>Android: Profile Not Clearing After Deletion</t>
        </is>
      </c>
      <c r="E17" s="9" t="inlineStr">
        <is>
          <t>Medium</t>
        </is>
      </c>
      <c r="F17" s="9" t="n">
        <v>1</v>
      </c>
      <c r="G17" s="11">
        <f>IF(A16="Yes",F16*100,0)</f>
        <v/>
      </c>
    </row>
    <row r="18">
      <c r="A18" s="9" t="inlineStr">
        <is>
          <t>Yes</t>
        </is>
      </c>
      <c r="B18" s="9" t="n">
        <v>15</v>
      </c>
      <c r="C18" s="10" t="inlineStr">
        <is>
          <t>TMA-049</t>
        </is>
      </c>
      <c r="D18" s="10" t="inlineStr">
        <is>
          <t>Performance: Chef Availability Loading Speed</t>
        </is>
      </c>
      <c r="E18" s="9" t="inlineStr">
        <is>
          <t>Medium</t>
        </is>
      </c>
      <c r="F18" s="9" t="n">
        <v>5</v>
      </c>
      <c r="G18" s="11">
        <f>IF(A17="Yes",F17*100,0)</f>
        <v/>
      </c>
    </row>
    <row r="19">
      <c r="A19" s="9" t="inlineStr">
        <is>
          <t>Yes</t>
        </is>
      </c>
      <c r="B19" s="9" t="n">
        <v>16</v>
      </c>
      <c r="C19" s="10" t="inlineStr">
        <is>
          <t>TMA-050</t>
        </is>
      </c>
      <c r="D19" s="10" t="inlineStr">
        <is>
          <t>Real-Time Chef Activation Status Update</t>
        </is>
      </c>
      <c r="E19" s="9" t="inlineStr">
        <is>
          <t>Medium</t>
        </is>
      </c>
      <c r="F19" s="9" t="n">
        <v>2</v>
      </c>
      <c r="G19" s="11">
        <f>IF(A18="Yes",F18*100,0)</f>
        <v/>
      </c>
    </row>
    <row r="20">
      <c r="A20" s="9" t="inlineStr">
        <is>
          <t>Yes</t>
        </is>
      </c>
      <c r="B20" s="9" t="n">
        <v>17</v>
      </c>
      <c r="C20" s="10" t="inlineStr">
        <is>
          <t>TMA-053</t>
        </is>
      </c>
      <c r="D20" s="10" t="inlineStr">
        <is>
          <t>Google &amp; Apple Sign-In</t>
        </is>
      </c>
      <c r="E20" s="9" t="inlineStr">
        <is>
          <t>Medium</t>
        </is>
      </c>
      <c r="F20" s="9" t="n">
        <v>10</v>
      </c>
      <c r="G20" s="11">
        <f>IF(A19="Yes",F19*100,0)</f>
        <v/>
      </c>
    </row>
    <row r="21">
      <c r="A21" s="9" t="inlineStr">
        <is>
          <t>Yes</t>
        </is>
      </c>
      <c r="B21" s="9" t="n">
        <v>18</v>
      </c>
      <c r="C21" s="10" t="inlineStr">
        <is>
          <t>TMA-030</t>
        </is>
      </c>
      <c r="D21" s="10" t="inlineStr">
        <is>
          <t>Stripe Statement Descriptor Issue (iOS)</t>
        </is>
      </c>
      <c r="E21" s="9" t="inlineStr">
        <is>
          <t>Medium</t>
        </is>
      </c>
      <c r="F21" s="9" t="n">
        <v>1</v>
      </c>
      <c r="G21" s="11">
        <f>IF(A20="Yes",F20*100,0)</f>
        <v/>
      </c>
    </row>
    <row r="22">
      <c r="A22" s="9" t="inlineStr">
        <is>
          <t>Yes</t>
        </is>
      </c>
      <c r="B22" s="9" t="n">
        <v>19</v>
      </c>
      <c r="C22" s="10" t="inlineStr">
        <is>
          <t>TMA-032</t>
        </is>
      </c>
      <c r="D22" s="10" t="inlineStr">
        <is>
          <t>Stripe Email Mismatch Strategy</t>
        </is>
      </c>
      <c r="E22" s="9" t="inlineStr">
        <is>
          <t>Medium</t>
        </is>
      </c>
      <c r="F22" s="9" t="n">
        <v>1</v>
      </c>
      <c r="G22" s="11">
        <f>IF(A21="Yes",F21*100,0)</f>
        <v/>
      </c>
    </row>
    <row r="23">
      <c r="A23" s="9" t="inlineStr">
        <is>
          <t>Yes</t>
        </is>
      </c>
      <c r="B23" s="9" t="n">
        <v>20</v>
      </c>
      <c r="C23" s="10" t="inlineStr">
        <is>
          <t>TMA-033</t>
        </is>
      </c>
      <c r="D23" s="10" t="inlineStr">
        <is>
          <t>Menu Item Enhancements (MOQ Field)</t>
        </is>
      </c>
      <c r="E23" s="9" t="inlineStr">
        <is>
          <t>Medium</t>
        </is>
      </c>
      <c r="F23" s="9" t="n">
        <v>3</v>
      </c>
      <c r="G23" s="11">
        <f>IF(A22="Yes",F22*100,0)</f>
        <v/>
      </c>
    </row>
    <row r="24">
      <c r="A24" s="9" t="inlineStr">
        <is>
          <t>Yes</t>
        </is>
      </c>
      <c r="B24" s="9" t="n">
        <v>21</v>
      </c>
      <c r="C24" s="10" t="inlineStr">
        <is>
          <t>TMA-061</t>
        </is>
      </c>
      <c r="D24" s="10" t="inlineStr">
        <is>
          <t>Unable to Order from Chef for Tomorrow</t>
        </is>
      </c>
      <c r="E24" s="9" t="inlineStr">
        <is>
          <t>Medium</t>
        </is>
      </c>
      <c r="F24" s="9" t="n">
        <v>4</v>
      </c>
      <c r="G24" s="11">
        <f>IF(A23="Yes",F23*100,0)</f>
        <v/>
      </c>
    </row>
    <row r="25">
      <c r="A25" s="9" t="inlineStr">
        <is>
          <t>Yes</t>
        </is>
      </c>
      <c r="B25" s="9" t="n">
        <v>22</v>
      </c>
      <c r="C25" s="10" t="inlineStr">
        <is>
          <t>TMA-037b</t>
        </is>
      </c>
      <c r="D25" s="10" t="inlineStr">
        <is>
          <t>Cannot Decline Permissions During Signup</t>
        </is>
      </c>
      <c r="E25" s="9" t="inlineStr">
        <is>
          <t>Medium</t>
        </is>
      </c>
      <c r="F25" s="9" t="n">
        <v>1</v>
      </c>
      <c r="G25" s="11">
        <f>IF(A24="Yes",F24*100,0)</f>
        <v/>
      </c>
    </row>
    <row r="26">
      <c r="A26" s="6" t="n"/>
      <c r="B26" s="6" t="n"/>
      <c r="C26" s="6" t="n"/>
      <c r="D26" s="7" t="inlineStr">
        <is>
          <t>MEDIUM PRIORITY SUBTOTAL</t>
        </is>
      </c>
      <c r="E26" s="6" t="n"/>
      <c r="F26" s="7">
        <f>SUMPRODUCT((A9:A24="Yes")*(F9:F24))</f>
        <v/>
      </c>
      <c r="G26" s="8">
        <f>F25*100</f>
        <v/>
      </c>
    </row>
    <row r="27">
      <c r="A27" s="12" t="inlineStr">
        <is>
          <t>Yes</t>
        </is>
      </c>
      <c r="B27" s="12" t="n">
        <v>23</v>
      </c>
      <c r="C27" s="13" t="inlineStr">
        <is>
          <t>TMA-023</t>
        </is>
      </c>
      <c r="D27" s="13" t="inlineStr">
        <is>
          <t>Replace Serving Size with MOQ</t>
        </is>
      </c>
      <c r="E27" s="12" t="inlineStr">
        <is>
          <t>Low</t>
        </is>
      </c>
      <c r="F27" s="12" t="n">
        <v>2</v>
      </c>
      <c r="G27" s="14">
        <f>IF(A26="Yes",F26*100,0)</f>
        <v/>
      </c>
    </row>
    <row r="28">
      <c r="A28" s="12" t="inlineStr">
        <is>
          <t>Yes</t>
        </is>
      </c>
      <c r="B28" s="12" t="n">
        <v>24</v>
      </c>
      <c r="C28" s="13" t="inlineStr">
        <is>
          <t>TMA-024</t>
        </is>
      </c>
      <c r="D28" s="13" t="inlineStr">
        <is>
          <t>Automatic App Update Prompts</t>
        </is>
      </c>
      <c r="E28" s="12" t="inlineStr">
        <is>
          <t>Low</t>
        </is>
      </c>
      <c r="F28" s="12" t="n">
        <v>2</v>
      </c>
      <c r="G28" s="14">
        <f>IF(A27="Yes",F27*100,0)</f>
        <v/>
      </c>
    </row>
    <row r="29">
      <c r="A29" s="12" t="inlineStr">
        <is>
          <t>Yes</t>
        </is>
      </c>
      <c r="B29" s="12" t="n">
        <v>25</v>
      </c>
      <c r="C29" s="13" t="inlineStr">
        <is>
          <t>TMA-028</t>
        </is>
      </c>
      <c r="D29" s="13" t="inlineStr">
        <is>
          <t>Admin Panel Timezone Consistency (Eastern)</t>
        </is>
      </c>
      <c r="E29" s="12" t="inlineStr">
        <is>
          <t>Low</t>
        </is>
      </c>
      <c r="F29" s="12" t="n">
        <v>1</v>
      </c>
      <c r="G29" s="14">
        <f>IF(A28="Yes",F28*100,0)</f>
        <v/>
      </c>
    </row>
    <row r="30">
      <c r="A30" s="12" t="inlineStr">
        <is>
          <t>Yes</t>
        </is>
      </c>
      <c r="B30" s="12" t="n">
        <v>26</v>
      </c>
      <c r="C30" s="13" t="inlineStr">
        <is>
          <t>TMA-038</t>
        </is>
      </c>
      <c r="D30" s="13" t="inlineStr">
        <is>
          <t>Update Onboarding Graphics</t>
        </is>
      </c>
      <c r="E30" s="12" t="inlineStr">
        <is>
          <t>Low</t>
        </is>
      </c>
      <c r="F30" s="12" t="n">
        <v>0.5</v>
      </c>
      <c r="G30" s="14">
        <f>IF(A29="Yes",F29*100,0)</f>
        <v/>
      </c>
    </row>
    <row r="31">
      <c r="A31" s="12" t="inlineStr">
        <is>
          <t>Yes</t>
        </is>
      </c>
      <c r="B31" s="12" t="n">
        <v>27</v>
      </c>
      <c r="C31" s="13" t="inlineStr">
        <is>
          <t>TMA-039</t>
        </is>
      </c>
      <c r="D31" s="13" t="inlineStr">
        <is>
          <t>Chef "I've Arrived" Notification Button</t>
        </is>
      </c>
      <c r="E31" s="12" t="inlineStr">
        <is>
          <t>Low</t>
        </is>
      </c>
      <c r="F31" s="12" t="n">
        <v>2</v>
      </c>
      <c r="G31" s="14">
        <f>IF(A30="Yes",F30*100,0)</f>
        <v/>
      </c>
    </row>
    <row r="32">
      <c r="A32" s="12" t="inlineStr">
        <is>
          <t>Yes</t>
        </is>
      </c>
      <c r="B32" s="12" t="n">
        <v>28</v>
      </c>
      <c r="C32" s="13" t="inlineStr">
        <is>
          <t>TMA-044</t>
        </is>
      </c>
      <c r="D32" s="13" t="inlineStr">
        <is>
          <t>Order Completion Time Reminder for Chef</t>
        </is>
      </c>
      <c r="E32" s="12" t="inlineStr">
        <is>
          <t>Low</t>
        </is>
      </c>
      <c r="F32" s="12" t="n">
        <v>3</v>
      </c>
      <c r="G32" s="14">
        <f>IF(A31="Yes",F31*100,0)</f>
        <v/>
      </c>
    </row>
    <row r="33">
      <c r="A33" s="12" t="inlineStr">
        <is>
          <t>Yes</t>
        </is>
      </c>
      <c r="B33" s="12" t="n">
        <v>29</v>
      </c>
      <c r="C33" s="13" t="inlineStr">
        <is>
          <t>TMA-045</t>
        </is>
      </c>
      <c r="D33" s="13" t="inlineStr">
        <is>
          <t>Android Time Selection Layout</t>
        </is>
      </c>
      <c r="E33" s="12" t="inlineStr">
        <is>
          <t>Low</t>
        </is>
      </c>
      <c r="F33" s="12" t="n">
        <v>2</v>
      </c>
      <c r="G33" s="14">
        <f>IF(A32="Yes",F32*100,0)</f>
        <v/>
      </c>
    </row>
    <row r="34">
      <c r="A34" s="12" t="inlineStr">
        <is>
          <t>Yes</t>
        </is>
      </c>
      <c r="B34" s="12" t="n">
        <v>30</v>
      </c>
      <c r="C34" s="13" t="inlineStr">
        <is>
          <t>TMA-046</t>
        </is>
      </c>
      <c r="D34" s="13" t="inlineStr">
        <is>
          <t>Chef: Request a New Allergen</t>
        </is>
      </c>
      <c r="E34" s="12" t="inlineStr">
        <is>
          <t>Low</t>
        </is>
      </c>
      <c r="F34" s="12" t="n">
        <v>1</v>
      </c>
      <c r="G34" s="14">
        <f>IF(A33="Yes",F33*100,0)</f>
        <v/>
      </c>
    </row>
    <row r="35">
      <c r="A35" s="12" t="inlineStr">
        <is>
          <t>Yes</t>
        </is>
      </c>
      <c r="B35" s="12" t="n">
        <v>31</v>
      </c>
      <c r="C35" s="13" t="inlineStr">
        <is>
          <t>TMA-047</t>
        </is>
      </c>
      <c r="D35" s="13" t="inlineStr">
        <is>
          <t>"Free Parking Available?" Checkbox</t>
        </is>
      </c>
      <c r="E35" s="12" t="inlineStr">
        <is>
          <t>Low</t>
        </is>
      </c>
      <c r="F35" s="12" t="n">
        <v>1</v>
      </c>
      <c r="G35" s="14">
        <f>IF(A34="Yes",F34*100,0)</f>
        <v/>
      </c>
    </row>
    <row r="36">
      <c r="A36" s="12" t="inlineStr">
        <is>
          <t>Yes</t>
        </is>
      </c>
      <c r="B36" s="12" t="n">
        <v>32</v>
      </c>
      <c r="C36" s="13" t="inlineStr">
        <is>
          <t>TMA-051</t>
        </is>
      </c>
      <c r="D36" s="13" t="inlineStr">
        <is>
          <t>Birthday Date Display Fix in Admin</t>
        </is>
      </c>
      <c r="E36" s="12" t="inlineStr">
        <is>
          <t>Low</t>
        </is>
      </c>
      <c r="F36" s="12" t="n">
        <v>0.5</v>
      </c>
      <c r="G36" s="14">
        <f>IF(A35="Yes",F35*100,0)</f>
        <v/>
      </c>
    </row>
    <row r="37">
      <c r="A37" s="12" t="inlineStr">
        <is>
          <t>Yes</t>
        </is>
      </c>
      <c r="B37" s="12" t="n">
        <v>33</v>
      </c>
      <c r="C37" s="13" t="inlineStr">
        <is>
          <t>TMA-052</t>
        </is>
      </c>
      <c r="D37" s="13" t="inlineStr">
        <is>
          <t>Deep Links in SMS Notifications</t>
        </is>
      </c>
      <c r="E37" s="12" t="inlineStr">
        <is>
          <t>Low</t>
        </is>
      </c>
      <c r="F37" s="12" t="n">
        <v>3</v>
      </c>
      <c r="G37" s="14">
        <f>IF(A36="Yes",F36*100,0)</f>
        <v/>
      </c>
    </row>
    <row r="38">
      <c r="A38" s="12" t="inlineStr">
        <is>
          <t>Yes</t>
        </is>
      </c>
      <c r="B38" s="12" t="n">
        <v>34</v>
      </c>
      <c r="C38" s="13" t="inlineStr">
        <is>
          <t>TMA-031</t>
        </is>
      </c>
      <c r="D38" s="13" t="inlineStr">
        <is>
          <t>Customization Quantity Buttons</t>
        </is>
      </c>
      <c r="E38" s="12" t="inlineStr">
        <is>
          <t>Low</t>
        </is>
      </c>
      <c r="F38" s="12" t="n">
        <v>2</v>
      </c>
      <c r="G38" s="14">
        <f>IF(A37="Yes",F37*100,0)</f>
        <v/>
      </c>
    </row>
    <row r="39">
      <c r="A39" s="12" t="inlineStr">
        <is>
          <t>Yes</t>
        </is>
      </c>
      <c r="B39" s="12" t="n">
        <v>35</v>
      </c>
      <c r="C39" s="13" t="inlineStr">
        <is>
          <t>TMA-034</t>
        </is>
      </c>
      <c r="D39" s="13" t="inlineStr">
        <is>
          <t>Category Overhaul ("Other" Category)</t>
        </is>
      </c>
      <c r="E39" s="12" t="inlineStr">
        <is>
          <t>Low</t>
        </is>
      </c>
      <c r="F39" s="12" t="n">
        <v>1</v>
      </c>
      <c r="G39" s="14">
        <f>IF(A38="Yes",F38*100,0)</f>
        <v/>
      </c>
    </row>
    <row r="40">
      <c r="A40" s="12" t="inlineStr">
        <is>
          <t>Yes</t>
        </is>
      </c>
      <c r="B40" s="12" t="n">
        <v>36</v>
      </c>
      <c r="C40" s="13" t="inlineStr">
        <is>
          <t>TMA-035</t>
        </is>
      </c>
      <c r="D40" s="13" t="inlineStr">
        <is>
          <t>Demand-Gated Background Checks</t>
        </is>
      </c>
      <c r="E40" s="12" t="inlineStr">
        <is>
          <t>Low</t>
        </is>
      </c>
      <c r="F40" s="12" t="n">
        <v>2</v>
      </c>
      <c r="G40" s="14">
        <f>IF(A39="Yes",F39*100,0)</f>
        <v/>
      </c>
    </row>
    <row r="41">
      <c r="A41" s="6" t="n"/>
      <c r="B41" s="6" t="n"/>
      <c r="C41" s="6" t="n"/>
      <c r="D41" s="7" t="inlineStr">
        <is>
          <t>LOW PRIORITY SUBTOTAL</t>
        </is>
      </c>
      <c r="E41" s="6" t="n"/>
      <c r="F41" s="7">
        <f>SUMPRODUCT((A26:A39="Yes")*(F26:F39))</f>
        <v/>
      </c>
      <c r="G41" s="8">
        <f>F40*100</f>
        <v/>
      </c>
    </row>
    <row r="42"/>
    <row r="43">
      <c r="A43" s="15" t="n"/>
      <c r="B43" s="15" t="n"/>
      <c r="C43" s="15" t="n"/>
      <c r="D43" s="16" t="inlineStr">
        <is>
          <t>SELECTED TOTAL</t>
        </is>
      </c>
      <c r="E43" s="15" t="n"/>
      <c r="F43" s="16">
        <f>F8+F25+F40</f>
        <v/>
      </c>
      <c r="G43" s="17">
        <f>F42*100</f>
        <v/>
      </c>
    </row>
    <row r="44">
      <c r="D44" s="1" t="inlineStr">
        <is>
          <t>Rate: $100/hr (80+ hrs) | $110/hr (under 80 hrs) | $200/hr (under 40 hrs)</t>
        </is>
      </c>
    </row>
    <row r="45"/>
    <row r="46">
      <c r="A46" s="15" t="n"/>
      <c r="B46" s="15" t="n"/>
      <c r="C46" s="15" t="n"/>
      <c r="D46" s="16" t="inlineStr">
        <is>
          <t>ESTIMATED TIMELINE</t>
        </is>
      </c>
      <c r="E46" s="15" t="n"/>
      <c r="F46" s="18">
        <f>IF(F42&lt;=40,3,3+CEILING((F42-40)/20,1))</f>
        <v/>
      </c>
      <c r="G46" s="16" t="inlineStr">
        <is>
          <t>weeks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2026-02-12T23:07:01Z</dcterms:created>
  <dcterms:modified xsi:type="dcterms:W3CDTF">2026-02-12T23:07:01Z</dcterms:modified>
</cp:coreProperties>
</file>